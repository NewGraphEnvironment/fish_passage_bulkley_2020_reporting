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data\"/>
    </mc:Choice>
  </mc:AlternateContent>
  <xr:revisionPtr revIDLastSave="0" documentId="13_ncr:1_{21C61DCA-66DB-4942-93EE-183D47FD3E1B}"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L65" i="2" s="1"/>
  <c r="AM65" i="2" s="1"/>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6" i="2" l="1"/>
  <c r="AM66" i="2" s="1"/>
  <c r="AL28" i="2"/>
  <c r="AL68" i="2"/>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<sst xmlns="http://schemas.openxmlformats.org/spreadsheetml/2006/main" count="1177" uniqueCount="314">
  <si>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</si>
  <si>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</si>
  <si>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</si>
  <si>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</si>
  <si>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</si>
  <si>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</si>
  <si>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</si>
  <si>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</si>
  <si>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</si>
  <si>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</si>
  <si>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</si>
  <si>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</si>
  <si>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</si>
  <si>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</si>
  <si>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</si>
  <si>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</si>
  <si>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</si>
  <si>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</si>
  <si>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</si>
  <si>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</si>
  <si>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</si>
  <si>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</si>
  <si>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</si>
  <si>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</si>
  <si>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</si>
  <si>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</si>
  <si>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</si>
  <si>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</si>
  <si>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</si>
  <si>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</si>
  <si>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</si>
  <si>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</si>
  <si>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</si>
  <si>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</si>
  <si>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</si>
  <si>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</si>
  <si>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</si>
  <si>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</si>
  <si>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</si>
  <si>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</si>
  <si>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</si>
  <si>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</si>
  <si>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</si>
  <si>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</si>
  <si>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</si>
  <si>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</si>
  <si>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</si>
  <si>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</si>
  <si>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</si>
  <si>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</si>
  <si>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</si>
  <si>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</si>
  <si>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</si>
  <si>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</si>
  <si>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</si>
  <si>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</si>
  <si>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</si>
  <si>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</si>
  <si>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</si>
  <si>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</si>
  <si>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</si>
  <si>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</si>
  <si>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</si>
  <si>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</si>
  <si>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</si>
  <si>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</si>
  <si>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</si>
  <si>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</si>
  <si>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</si>
  <si>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</si>
  <si>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</si>
  <si>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</si>
  <si>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</si>
  <si>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</si>
  <si>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</si>
  <si>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</si>
  <si>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</si>
  <si>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</si>
  <si>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</si>
  <si>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</si>
  <si>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</si>
  <si>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</si>
  <si>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</si>
  <si>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</si>
  <si>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</si>
  <si>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</si>
  <si>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</si>
  <si>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</si>
  <si>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</si>
  <si>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</si>
  <si>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</si>
  <si>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</si>
  <si>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</si>
  <si>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</si>
  <si>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</si>
  <si>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</si>
  <si>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</si>
  <si>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</si>
  <si>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</si>
  <si>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</si>
  <si>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</si>
  <si>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Low</t>
  </si>
  <si>
    <t>Tributary to Lowe Creek</t>
  </si>
  <si>
    <t>Tributary to Elk River</t>
  </si>
  <si>
    <t>Spur from Elk River FSR</t>
  </si>
  <si>
    <t>Lower Elk Valley Road</t>
  </si>
  <si>
    <t>Airport Road</t>
  </si>
  <si>
    <t>Driveway</t>
  </si>
  <si>
    <t>Private</t>
  </si>
  <si>
    <t>Busato Road</t>
  </si>
  <si>
    <t>Oval Culvert</t>
  </si>
  <si>
    <t>High</t>
  </si>
  <si>
    <t>Highway 43</t>
  </si>
  <si>
    <t>Other</t>
  </si>
  <si>
    <t>Ford</t>
  </si>
  <si>
    <t>AI</t>
  </si>
  <si>
    <t xml:space="preserve">Spur </t>
  </si>
  <si>
    <t>Hadner FSR</t>
  </si>
  <si>
    <t>Open Bottom Structure</t>
  </si>
  <si>
    <t>Bridge</t>
  </si>
  <si>
    <t>Dicken Road</t>
  </si>
  <si>
    <t>Lazy Lizard Lower</t>
  </si>
  <si>
    <t>Trail</t>
  </si>
  <si>
    <t>Mt Mclean Road</t>
  </si>
  <si>
    <t>AI, Kp</t>
  </si>
  <si>
    <t>McGiverin Road</t>
  </si>
  <si>
    <t>Railway</t>
  </si>
  <si>
    <t>Robinson Road</t>
  </si>
  <si>
    <t>Hill Road</t>
  </si>
  <si>
    <t>KP, AI</t>
  </si>
  <si>
    <t>Pipe Arch</t>
  </si>
  <si>
    <t>Line creek mine road</t>
  </si>
  <si>
    <t>Cokato Road</t>
  </si>
  <si>
    <t>Concrete Box</t>
  </si>
  <si>
    <t>Highline Drive (Fernie ski hill)</t>
  </si>
  <si>
    <t>Fernie ski hill</t>
  </si>
  <si>
    <t>Fernie Nordic Trail</t>
  </si>
  <si>
    <t>Outlet pool appears dredged, very deep, approximately 2m and 7-8m long. Nice stream, good flow.</t>
  </si>
  <si>
    <t>Highway 3</t>
  </si>
  <si>
    <t>AI, MF, DN</t>
  </si>
  <si>
    <t>Dicken Rd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</si>
  <si>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</si>
  <si>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</si>
  <si>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</si>
  <si>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</si>
  <si>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Replace with New Open Bottom Structure</t>
  </si>
  <si>
    <t>Remove/Deactivate Crossing</t>
  </si>
  <si>
    <t>Good habitat, habitat assessment (FHAP) conducted in 2016 (Masse Environmental Consultants Ltd.) for proposed coal mine EA (Bingay). Electrofished U/S and D/S, see provincial records and data submission file at http://a100.gov.bc.ca/pub/acat/public/viewReport.do?reportId=52717 . Culvert does not appear to be barrier to any species at any life stage at time of survey.  Could be barrier to small fish at high flows. EB and WCT recrded upstream.</t>
  </si>
  <si>
    <t>Culvert slope estimate. Stream dredged upstream to remove sediments. Flows are slow through culvert and unlikely barrier for fry/parr for much of year. Crossing 4606244 is on deactivated spur upstream so very likely a ford, about 300m upstream same thing for 4604099.</t>
  </si>
  <si>
    <t>Stream not located where mapped. Unlikely fish bearing. Flows into forest floor downstream of culvert.</t>
  </si>
  <si>
    <t>Channelized downstream due to dredging for about 30m. Small stream, substrate primarily fines but some gravel present.</t>
  </si>
  <si>
    <t>Road is deactivated downstream so no crossings below (4607172, 4606929). Dry vegetated channel. Not likely fish bearing at this location.</t>
  </si>
  <si>
    <t>Plan in place to deactivate entire network here (personal communication with local machinery operator). Dry, vegetated channel. Likely non-fish bearing.</t>
  </si>
  <si>
    <t>Freshly dredged. Dry, Dredging may extend well down channel. See photo from about 130m downstream.</t>
  </si>
  <si>
    <t>Dry channel at time of survey, channel transitions to grass flats about 60 meters downstream.</t>
  </si>
  <si>
    <t>Whiting creek appeared to not be present through agricultural field downstream. This appeared to be only channel present for Whiting crossing this road although the main Whiting channel is present upstream. Dry, heavily vegetated channel downstream. Defined channel upstream but seems unlikely to be fish bearing.</t>
  </si>
  <si>
    <t>Flows through fenced private land upstream and downstream. Inlet has quite a bit of debris on it. Upstream is much steeper than downstream with gradient estimated at 12%. Small stream with good flow.</t>
  </si>
  <si>
    <t>Fenced private land upstream and downstream. Wetland area downstream.  Culvert does not appear likely to be significantly impacting upstream fish passage for juvenile or adult WCT at time of survey.</t>
  </si>
  <si>
    <t>Embedded culvert on private driveway. EB known upstream. Culvert does not appear likely to be significantly impacting upstream fish passage for juvenile or adult WCT at time of survey.</t>
  </si>
  <si>
    <t>Culvert collapsing in the middle. Private resdience driveway. Wetland type habitat upstream. Culvert does not appear likely to be significantly impacting upstream fish passage for juvenile or adult WCT at time of survey.</t>
  </si>
  <si>
    <t>Large stream with good flow at this crossing. Culvert inlet is damaged and there is a large outlet drop. Upstream of highway the stream is subsurface for ~600m.</t>
  </si>
  <si>
    <t>Pulled crossing, no issues, is now a ford.</t>
  </si>
  <si>
    <t>Deactivated. Ford. no issues.</t>
  </si>
  <si>
    <t>Small stream with good flow, EB known upstream. Fenced private land upstream and downstream. Stream measurements estimated due to fenced private land.  Large outlet drop.</t>
  </si>
  <si>
    <t>Culvert has extension with corner, small stream with good flow. WCT and EB documented upstream. Gravels present suitable for WCT and EB spawning.</t>
  </si>
  <si>
    <t>Bridge.</t>
  </si>
  <si>
    <t>Steep stream with good flow. FISS sample site 2593 near crossing location. Suspect too steep to be fish bearing.</t>
  </si>
  <si>
    <t>Laser level used for culvert slope. WCT spawning system. See Management Plan for the Westslope Cutthroat Trout (Oncorhynchus clarkii lewisi) in British Columbia 2014 http://a100.gov.bc.ca/pub/eirs/finishDownloadDocument.do?subdocumentId=9781</t>
  </si>
  <si>
    <t>Bike trail.</t>
  </si>
  <si>
    <t>Trail. Stream has been diverted to beside the road.</t>
  </si>
  <si>
    <t>Dry channel. Culvert is embedded.</t>
  </si>
  <si>
    <t>Vegetated channel. Not likely fish habitat.</t>
  </si>
  <si>
    <t>Dry vegetated channel. Not likely fish habitat.</t>
  </si>
  <si>
    <t>Dry mostly vegetated channel. Not likely fish habitat.</t>
  </si>
  <si>
    <t>Dry, mostly vegetated channel. Not likely fish habitat. Two pipes, one buried by fill. Inlet elevated resulting in small are of wetland vegetation upstream.</t>
  </si>
  <si>
    <t>Appears passable.</t>
  </si>
  <si>
    <t>Stream dry at time of survey. Vegetated channel, loaded with sediment. Inlet of culvert damaged, partly bent. Inlet and outlet area dredged. Not likely fish habitat.</t>
  </si>
  <si>
    <t>Upstream past dredging natural channel 2.5m wide. Downstream below dredging extremely braided, original channel difficult to track. Channel widths &gt;10m at times with substrate on top of banks and in bases of trees. Channel dredged upstream and downstream approximately 75m on each. Habitat assessment (FHAP) conducted in 2016 (Masse Environmental Consultants Ltd.) for proposed coal mine EA (Bingay). Electrofished D/S, see provincial records and data submission file at http://a100.gov.bc.ca/pub/acat/public/viewReport.do?reportId=52717 .</t>
  </si>
  <si>
    <t>Low, slow flow. Culvert completely backwatered.</t>
  </si>
  <si>
    <t>Large perched culvert. High value habitat. Habitat confirmation and sampling conducted.</t>
  </si>
  <si>
    <t>No visible channel. Not likely fish habitat. Agricultural area.</t>
  </si>
  <si>
    <t>Stream slope estimated due to fenced private land.</t>
  </si>
  <si>
    <t>Three barrels (.45m each). Two of the three have water flowing through them. Upstream and downstream channel widens out, slow flow through vegetated channel. Highly manipulated banks. Deep fine substrate on both sides of crossing. Upstream resembles a wetland. Crossing does not appear likely to be significantly impacting upstream fish passage for juvenile or adult WCT at time of survey.</t>
  </si>
  <si>
    <t>Dewatered upstream of highway for 600m. Deep pool present downstream fed subsurface from northside of culvert.  Approximately 9 WCT in outlet pool.  Four fish ~300mm and 5 fish ~200 mm. High confidence that the larger fish were WCT as easy to recognize spotted backs from bank.</t>
  </si>
  <si>
    <t>Dry at time of survey, no channel present, area vegetated grassland. Two culverts, 0.60m in diameter. Top culvert 0.5m higher than the lower.</t>
  </si>
  <si>
    <t>No access up or downstream due to fenced private land. Stream slope estimated.</t>
  </si>
  <si>
    <t>No access up or downstream due to fenced private land. Stream slope estimated. Water pipe intake at the outlet.</t>
  </si>
  <si>
    <t>Deactivated road. Ford.</t>
  </si>
  <si>
    <t>Stream dry at time of survey, channel not visible for about 40 downstream. Water and channel appear about 65m downstream of crossing. Upstream side of crossing inlet not visible, covered by road fill or deep organic debris. Channel upstream non-existent and dry. This system (labelled as Grave creek on the map) must be a side channel or remnant channel.</t>
  </si>
  <si>
    <t>Inlet clogged with debris 3/4 of way up. Upstream area is wetland/pond.</t>
  </si>
  <si>
    <t>Nice wooden pedestrian/bike bridge for recreational use.</t>
  </si>
  <si>
    <t>Very low flow at time of survey and 0.5m inlet drop from debris. Very steep culvert, possibly 2 sections with further upstream section being much steeper.</t>
  </si>
  <si>
    <t>Concrete arch, &gt;30% downstream of culvert for 10m likely from railway fill. Dry downstream with stagnant pools upstream.</t>
  </si>
  <si>
    <t>2 barrels, 0.90 and 1.1m. Debris rack on inlet. Stream dry at time of survey.</t>
  </si>
  <si>
    <t>3 large barrels (all 1.2m), very perched 0.7-1.3m above substrate. Stream dry at time of survey. Debris rack on upstream side of culvert. Note there is a slope change at the inlet of structure, much steeper short section possibly from damage.</t>
  </si>
  <si>
    <t>Stream dry at time of survey. Three barrels, 1.2m in diameter. All three very similar elevation, all perched .2-.50m above substrate.</t>
  </si>
  <si>
    <t>Stream dry at time of survey. 2 barrels (0.80 and 1.5m in diameter), similar heights but 1.5m slightly lower. Smaller barrel inlet damaged.</t>
  </si>
  <si>
    <t>Very recent heavy rains, 2 side channels for ski hill drainage infrastructure giving significant flow contributions just upstream of crossing, one of which is especially turbid (from large parking lot). Culvert not baffled, very steep. A lot of fill on paved access to condos. Old metal collar of culvert ripped off and in outlet pool.</t>
  </si>
  <si>
    <t>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t>
  </si>
  <si>
    <t>Inlet drop about .40m, significant and looks like increased barrier. Crossing is Fernie ski hill gravel road. urrently high and turbid due to heavy rain.</t>
  </si>
  <si>
    <t>Huge crossing through the ski hill parking lot and lodge area.  Largeoutlet drop and pool, extremely long culvert (close to 100m) tied in with other drainage infrastructure at the base of the Fernie ski hill. Inlet drop about .15m.</t>
  </si>
  <si>
    <t>Stream gradient immediately upstream of crossing is near 20%. Crossing is last of a series within close proximity to each other. The crossing downstream of this one is near 100m long. Likely more crossings upstream on ski hill infrastructure and access roads. Recent heavy rains.</t>
  </si>
  <si>
    <t>Fry observed at outlet pool.  Inlet of active pipe mostly plugged with debris. Overflow pipe is 0.8m outlet drop with fry/juveniles stranded in outlet pool.  Flows out of Fernie Ski Hill Road development area.</t>
  </si>
  <si>
    <t>Stream dry at time of survey.  Children’s fort in upstream channel indicating that flows are likely very minimal year round.</t>
  </si>
  <si>
    <t>Crossing Creek</t>
  </si>
  <si>
    <t>Tributary to Whiting Creek</t>
  </si>
  <si>
    <t>Littlemoor Creek</t>
  </si>
  <si>
    <t>Dalzell Creek</t>
  </si>
  <si>
    <t>Brule Creek</t>
  </si>
  <si>
    <t>Weigart Creek</t>
  </si>
  <si>
    <t>North Littlemoor Creek</t>
  </si>
  <si>
    <t>McCool Creek</t>
  </si>
  <si>
    <t>Hartley Creek</t>
  </si>
  <si>
    <t>Tributary to Lizard Creek</t>
  </si>
  <si>
    <t>Lowe Creek</t>
  </si>
  <si>
    <t>Hollow Creek</t>
  </si>
  <si>
    <t>Whiting Creek</t>
  </si>
  <si>
    <t>Grave Creek</t>
  </si>
  <si>
    <t>Tributary to Grave Creek</t>
  </si>
  <si>
    <t>Cokato Creek</t>
  </si>
  <si>
    <t>Unknown</t>
  </si>
  <si>
    <t>MoTi arterial</t>
  </si>
  <si>
    <t>MoTi local</t>
  </si>
  <si>
    <t>MoTi highway</t>
  </si>
  <si>
    <t>MoTi collector</t>
  </si>
  <si>
    <t>Fernie local</t>
  </si>
  <si>
    <t>Canadian Pacific</t>
  </si>
  <si>
    <t>Fernie collector</t>
  </si>
  <si>
    <t>FLNR 0103</t>
  </si>
  <si>
    <t>Canfor R08370</t>
  </si>
  <si>
    <t>Canfor R08473</t>
  </si>
  <si>
    <t>FLNR 6946</t>
  </si>
  <si>
    <t>Canfor R08477</t>
  </si>
  <si>
    <t>Replace Structure with Streambed Simulation CBS</t>
  </si>
  <si>
    <t>Install Downstream Weir(s) to Backwater CBS</t>
  </si>
  <si>
    <t>unclassified</t>
  </si>
  <si>
    <t>BCFP-003_phase1</t>
  </si>
  <si>
    <t>Elk River Watershed Group Fish Passage Assessments - Phase 1</t>
  </si>
  <si>
    <t>00188139</t>
  </si>
  <si>
    <t>Betty Rebellato</t>
  </si>
  <si>
    <t>800-563-9453</t>
  </si>
  <si>
    <t>BettyR@cwf-fcf.org</t>
  </si>
  <si>
    <t>OTHER</t>
  </si>
  <si>
    <t>Al Irvine</t>
  </si>
  <si>
    <t>250-777-1518</t>
  </si>
  <si>
    <t>al@newgraphenvironment.com</t>
  </si>
  <si>
    <t>PSCIS Images</t>
  </si>
  <si>
    <t>Large stream with good flow. Flows currently mostly through south culvert which has slightly higher outlet drop. Similar elevation outlets so added together for width. Lazer level used for culvert slope. Cobble/boulder substrate. Boulder cover.</t>
  </si>
  <si>
    <t>An error occured locating the image Folder C:\Users\allan\OneDrive\New_Graph\Current\2020-025_cwf_elk\scripts\fish_passage_elk_2020_reporting\data\4605653. This folder must be located in the same directory as this submission sheet, and have the same name as the project '4605653'. Please ensure this folder exists.</t>
  </si>
  <si>
    <t>An error occured locating the image Folder C:\Users\allan\OneDrive\New_Graph\Current\2020-025_cwf_elk\scripts\fish_passage_elk_2020_reporting\data\4605675. This folder must be located in the same directory as this submission sheet, and have the same name as the project '4605675'. Please ensure this folder exists.</t>
  </si>
  <si>
    <t>An error occured locating the image Folder C:\Users\allan\OneDrive\New_Graph\Current\2020-025_cwf_elk\scripts\fish_passage_elk_2020_reporting\data\4605705. This folder must be located in the same directory as this submission sheet, and have the same name as the project '4605705'. Please ensure this folder exists.</t>
  </si>
  <si>
    <t>An error occured locating the image Folder C:\Users\allan\OneDrive\New_Graph\Current\2020-025_cwf_elk\scripts\fish_passage_elk_2020_reporting\data\4605708. This folder must be located in the same directory as this submission sheet, and have the same name as the project '4605708'. Please ensure this folder exists.</t>
  </si>
  <si>
    <t>An error occured locating the image Folder C:\Users\allan\OneDrive\New_Graph\Current\2020-025_cwf_elk\scripts\fish_passage_elk_2020_reporting\data\4606835. This folder must be located in the same directory as this submission sheet, and have the same name as the project '4606835'. Please ensure this folder exists.</t>
  </si>
  <si>
    <t>An error occured locating the image Folder C:\Users\allan\OneDrive\New_Graph\Current\2020-025_cwf_elk\scripts\fish_passage_elk_2020_reporting\data\4606669. This folder must be located in the same directory as this submission sheet, and have the same name as the project '4606669'. Please ensure this folder exists.</t>
  </si>
  <si>
    <t>An error occured locating the image Folder C:\Users\allan\OneDrive\New_Graph\Current\2020-025_cwf_elk\scripts\fish_passage_elk_2020_reporting\data\4605733. This folder must be located in the same directory as this submission sheet, and have the same name as the project '4605733'. Please ensure this folder exists.</t>
  </si>
  <si>
    <t>An error occured locating the image Folder C:\Users\allan\OneDrive\New_Graph\Current\2020-025_cwf_elk\scripts\fish_passage_elk_2020_reporting\data\4605697. This folder must be located in the same directory as this submission sheet, and have the same name as the project '4605697'. Please ensure this folder exists.</t>
  </si>
  <si>
    <t>An error occured locating the image Folder C:\Users\allan\OneDrive\New_Graph\Current\2020-025_cwf_elk\scripts\fish_passage_elk_2020_reporting\data\4600329. This folder must be located in the same directory as this submission sheet, and have the same name as the project '4600329'. Please ensure this folder exists.</t>
  </si>
  <si>
    <t>An error occured locating the image Folder C:\Users\allan\OneDrive\New_Graph\Current\2020-025_cwf_elk\scripts\fish_passage_elk_2020_reporting\data\4600084. This folder must be located in the same directory as this submission sheet, and have the same name as the project '4600084'. Please ensure this folder exists.</t>
  </si>
  <si>
    <t>An error occured locating the image Folder C:\Users\allan\OneDrive\New_Graph\Current\2020-025_cwf_elk\scripts\fish_passage_elk_2020_reporting\data\4600040. This folder must be located in the same directory as this submission sheet, and have the same name as the project '4600040'. Please ensure this folder exists.</t>
  </si>
  <si>
    <t>An error occured locating the image Folder C:\Users\allan\OneDrive\New_Graph\Current\2020-025_cwf_elk\scripts\fish_passage_elk_2020_reporting\data\4600037. This folder must be located in the same directory as this submission sheet, and have the same name as the project '4600037'. Please ensure this folder exists.</t>
  </si>
  <si>
    <t>An error occured locating the image Folder C:\Users\allan\OneDrive\New_Graph\Current\2020-025_cwf_elk\scripts\fish_passage_elk_2020_reporting\data\4600038. This folder must be located in the same directory as this submission sheet, and have the same name as the project '4600038'. Please ensure this folder exists.</t>
  </si>
  <si>
    <t>An error occured locating the image Folder C:\Users\allan\OneDrive\New_Graph\Current\2020-025_cwf_elk\scripts\fish_passage_elk_2020_reporting\data\4600183. This folder must be located in the same directory as this submission sheet, and have the same name as the project '4600183'. Please ensure this folder exists.</t>
  </si>
  <si>
    <t>An error occured locating the image Folder C:\Users\allan\OneDrive\New_Graph\Current\2020-025_cwf_elk\scripts\fish_passage_elk_2020_reporting\data\4600069. This folder must be located in the same directory as this submission sheet, and have the same name as the project '4600069'. Please ensure this folder exists.</t>
  </si>
  <si>
    <t>An error occured locating the image Folder C:\Users\allan\OneDrive\New_Graph\Current\2020-025_cwf_elk\scripts\fish_passage_elk_2020_reporting\data\4601205. This folder must be located in the same directory as this submission sheet, and have the same name as the project '4601205'. Please ensure this folder exists.</t>
  </si>
  <si>
    <t>An error occured locating the image Folder C:\Users\allan\OneDrive\New_Graph\Current\2020-025_cwf_elk\scripts\fish_passage_elk_2020_reporting\data\4602276. This folder must be located in the same directory as this submission sheet, and have the same name as the project '4602276'. Please ensure this folder exists.</t>
  </si>
  <si>
    <t>An error occured locating the image Folder C:\Users\allan\OneDrive\New_Graph\Current\2020-025_cwf_elk\scripts\fish_passage_elk_2020_reporting\data\4600184. This folder must be located in the same directory as this submission sheet, and have the same name as the project '4600184'. Please ensure this folder exists.</t>
  </si>
  <si>
    <t>An error occured locating the image Folder C:\Users\allan\OneDrive\New_Graph\Current\2020-025_cwf_elk\scripts\fish_passage_elk_2020_reporting\data\4600185. This folder must be located in the same directory as this submission sheet, and have the same name as the project '4600185'. Please ensure this folder exists.</t>
  </si>
  <si>
    <t>An error occured locating the image Folder C:\Users\allan\OneDrive\New_Graph\Current\2020-025_cwf_elk\scripts\fish_passage_elk_2020_reporting\data\2020091801. This folder must be located in the same directory as this submission sheet, and have the same name as the project '2020091801'. Please ensure this folder exists.</t>
  </si>
  <si>
    <t>An error occured locating the image Folder C:\Users\allan\OneDrive\New_Graph\Current\2020-025_cwf_elk\scripts\fish_passage_elk_2020_reporting\data\4607023. This folder must be located in the same directory as this submission sheet, and have the same name as the project '4607023'. Please ensure this folder exists.</t>
  </si>
  <si>
    <t>An error occured locating the image Folder C:\Users\allan\OneDrive\New_Graph\Current\2020-025_cwf_elk\scripts\fish_passage_elk_2020_reporting\data\4604198. This folder must be located in the same directory as this submission sheet, and have the same name as the project '4604198'. Please ensure this folder exists.</t>
  </si>
  <si>
    <t>An error occured locating the image Folder C:\Users\allan\OneDrive\New_Graph\Current\2020-025_cwf_elk\scripts\fish_passage_elk_2020_reporting\data\4600367. This folder must be located in the same directory as this submission sheet, and have the same name as the project '4600367'. Please ensure this folder exists.</t>
  </si>
  <si>
    <t>An error occured locating the image Folder C:\Users\allan\OneDrive\New_Graph\Current\2020-025_cwf_elk\scripts\fish_passage_elk_2020_reporting\data\2020092201. This folder must be located in the same directory as this submission sheet, and have the same name as the project '2020092201'. Please ensure this folder exists.</t>
  </si>
  <si>
    <t>An error occured locating the image Folder C:\Users\allan\OneDrive\New_Graph\Current\2020-025_cwf_elk\scripts\fish_passage_elk_2020_reporting\data\2020092301. This folder must be located in the same directory as this submission sheet, and have the same name as the project '2020092301'. Please ensure this folder exists.</t>
  </si>
  <si>
    <t>An error occured locating the image Folder C:\Users\allan\OneDrive\New_Graph\Current\2020-025_cwf_elk\scripts\fish_passage_elk_2020_reporting\data\4600077. This folder must be located in the same directory as this submission sheet, and have the same name as the project '4600077'. Please ensure this folder exists.</t>
  </si>
  <si>
    <t>An error occured locating the image Folder C:\Users\allan\OneDrive\New_Graph\Current\2020-025_cwf_elk\scripts\fish_passage_elk_2020_reporting\data\4600102. This folder must be located in the same directory as this submission sheet, and have the same name as the project '4600102'. Please ensure this folder exists.</t>
  </si>
  <si>
    <t>An error occured locating the image Folder C:\Users\allan\OneDrive\New_Graph\Current\2020-025_cwf_elk\scripts\fish_passage_elk_2020_reporting\data\4603265. This folder must be located in the same directory as this submission sheet, and have the same name as the project '4603265'. Please ensure this folder exists.</t>
  </si>
  <si>
    <t>An error occured locating the image Folder C:\Users\allan\OneDrive\New_Graph\Current\2020-025_cwf_elk\scripts\fish_passage_elk_2020_reporting\data\4600008. This folder must be located in the same directory as this submission sheet, and have the same name as the project '4600008'. Please ensure this folder exists.</t>
  </si>
  <si>
    <t>An error occured locating the image Folder C:\Users\allan\OneDrive\New_Graph\Current\2020-025_cwf_elk\scripts\fish_passage_elk_2020_reporting\data\2020092302. This folder must be located in the same directory as this submission sheet, and have the same name as the project '2020092302'. Please ensure this folder exists.</t>
  </si>
  <si>
    <t>An error occured locating the image Folder C:\Users\allan\OneDrive\New_Graph\Current\2020-025_cwf_elk\scripts\fish_passage_elk_2020_reporting\data\2020092303. This folder must be located in the same directory as this submission sheet, and have the same name as the project '2020092303'. Please ensure this folder exists.</t>
  </si>
  <si>
    <t>An error occured locating the image Folder C:\Users\allan\OneDrive\New_Graph\Current\2020-025_cwf_elk\scripts\fish_passage_elk_2020_reporting\data\4605636. This folder must be located in the same directory as this submission sheet, and have the same name as the project '4605636'. Please ensure this folder exists.</t>
  </si>
  <si>
    <t>An error occured locating the image Folder C:\Users\allan\OneDrive\New_Graph\Current\2020-025_cwf_elk\scripts\fish_passage_elk_2020_reporting\data\4605707. This folder must be located in the same directory as this submission sheet, and have the same name as the project '4605707'. Please ensure this folder exists.</t>
  </si>
  <si>
    <t>An error occured locating the image Folder C:\Users\allan\OneDrive\New_Graph\Current\2020-025_cwf_elk\scripts\fish_passage_elk_2020_reporting\data\4605742. This folder must be located in the same directory as this submission sheet, and have the same name as the project '4605742'. Please ensure this folder exists.</t>
  </si>
  <si>
    <t>An error occured locating the image Folder C:\Users\allan\OneDrive\New_Graph\Current\2020-025_cwf_elk\scripts\fish_passage_elk_2020_reporting\data\4605649. This folder must be located in the same directory as this submission sheet, and have the same name as the project '4605649'. Please ensure this folder exists.</t>
  </si>
  <si>
    <t>An error occured locating the image Folder C:\Users\allan\OneDrive\New_Graph\Current\2020-025_cwf_elk\scripts\fish_passage_elk_2020_reporting\data\4605732. This folder must be located in the same directory as this submission sheet, and have the same name as the project '4605732'. Please ensure this folder exists.</t>
  </si>
  <si>
    <t>An error occured locating the image Folder C:\Users\allan\OneDrive\New_Graph\Current\2020-025_cwf_elk\scripts\fish_passage_elk_2020_reporting\data\4600090. This folder must be located in the same directory as this submission sheet, and have the same name as the project '4600090'. Please ensure this folder exists.</t>
  </si>
  <si>
    <t>An error occured locating the image Folder C:\Users\allan\OneDrive\New_Graph\Current\2020-025_cwf_elk\scripts\fish_passage_elk_2020_reporting\data\4600092. This folder must be located in the same directory as this submission sheet, and have the same name as the project '4600092'. Please ensure this folder exists.</t>
  </si>
  <si>
    <t>An error occured locating the image Folder C:\Users\allan\OneDrive\New_Graph\Current\2020-025_cwf_elk\scripts\fish_passage_elk_2020_reporting\data\4600039. This folder must be located in the same directory as this submission sheet, and have the same name as the project '4600039'. Please ensure this folder exists.</t>
  </si>
  <si>
    <t>An error occured locating the image Folder C:\Users\allan\OneDrive\New_Graph\Current\2020-025_cwf_elk\scripts\fish_passage_elk_2020_reporting\data\4600070. This folder must be located in the same directory as this submission sheet, and have the same name as the project '4600070'. Please ensure this folder exists.</t>
  </si>
  <si>
    <t>An error occured locating the image Folder C:\Users\allan\OneDrive\New_Graph\Current\2020-025_cwf_elk\scripts\fish_passage_elk_2020_reporting\data\4600181. This folder must be located in the same directory as this submission sheet, and have the same name as the project '4600181'. Please ensure this folder exists.</t>
  </si>
  <si>
    <t>An error occured locating the image Folder C:\Users\allan\OneDrive\New_Graph\Current\2020-025_cwf_elk\scripts\fish_passage_elk_2020_reporting\data\4600186. This folder must be located in the same directory as this submission sheet, and have the same name as the project '4600186'. Please ensure this folder exists.</t>
  </si>
  <si>
    <t>An error occured locating the image Folder C:\Users\allan\OneDrive\New_Graph\Current\2020-025_cwf_elk\scripts\fish_passage_elk_2020_reporting\data\4600140. This folder must be located in the same directory as this submission sheet, and have the same name as the project '4600140'. Please ensure this folder exists.</t>
  </si>
  <si>
    <t>An error occured locating the image Folder C:\Users\allan\OneDrive\New_Graph\Current\2020-025_cwf_elk\scripts\fish_passage_elk_2020_reporting\data\4601129. This folder must be located in the same directory as this submission sheet, and have the same name as the project '4601129'. Please ensure this folder exists.</t>
  </si>
  <si>
    <t>An error occured locating the image Folder C:\Users\allan\OneDrive\New_Graph\Current\2020-025_cwf_elk\scripts\fish_passage_elk_2020_reporting\data\4602533. This folder must be located in the same directory as this submission sheet, and have the same name as the project '4602533'. Please ensure this folder exists.</t>
  </si>
  <si>
    <t>An error occured locating the image Folder C:\Users\allan\OneDrive\New_Graph\Current\2020-025_cwf_elk\scripts\fish_passage_elk_2020_reporting\data\4602270. This folder must be located in the same directory as this submission sheet, and have the same name as the project '4602270'. Please ensure this folder exists.</t>
  </si>
  <si>
    <t>An error occured locating the image Folder C:\Users\allan\OneDrive\New_Graph\Current\2020-025_cwf_elk\scripts\fish_passage_elk_2020_reporting\data\2020092310. This folder must be located in the same directory as this submission sheet, and have the same name as the project '2020092310'. Please ensure this folder exists.</t>
  </si>
  <si>
    <t>An error occured locating the image Folder C:\Users\allan\OneDrive\New_Graph\Current\2020-025_cwf_elk\scripts\fish_passage_elk_2020_reporting\data\4600130. This folder must be located in the same directory as this submission sheet, and have the same name as the project '4600130'. Please ensure this folder exists.</t>
  </si>
  <si>
    <t>An error occured locating the image Folder C:\Users\allan\OneDrive\New_Graph\Current\2020-025_cwf_elk\scripts\fish_passage_elk_2020_reporting\data\4606807. This folder must be located in the same directory as this submission sheet, and have the same name as the project '4606807'. Please ensure this folder exists.</t>
  </si>
  <si>
    <t>An error occured locating the image Folder C:\Users\allan\OneDrive\New_Graph\Current\2020-025_cwf_elk\scripts\fish_passage_elk_2020_reporting\data\4600080. This folder must be located in the same directory as this submission sheet, and have the same name as the project '4600080'. Please ensure this folder exists.</t>
  </si>
  <si>
    <t>An error occured locating the image Folder C:\Users\allan\OneDrive\New_Graph\Current\2020-025_cwf_elk\scripts\fish_passage_elk_2020_reporting\data\4603291. This folder must be located in the same directory as this submission sheet, and have the same name as the project '4603291'. Please ensure this folder exists.</t>
  </si>
  <si>
    <t>An error occured locating the image Folder C:\Users\allan\OneDrive\New_Graph\Current\2020-025_cwf_elk\scripts\fish_passage_elk_2020_reporting\data\4600316. This folder must be located in the same directory as this submission sheet, and have the same name as the project '4600316'. Please ensure this folder exists.</t>
  </si>
  <si>
    <t>An error occured locating the image Folder C:\Users\allan\OneDrive\New_Graph\Current\2020-025_cwf_elk\scripts\fish_passage_elk_2020_reporting\data\4601594. This folder must be located in the same directory as this submission sheet, and have the same name as the project '4601594'. Please ensure this folder exists.</t>
  </si>
  <si>
    <t>An error occured locating the image Folder C:\Users\allan\OneDrive\New_Graph\Current\2020-025_cwf_elk\scripts\fish_passage_elk_2020_reporting\data\4600169. This folder must be located in the same directory as this submission sheet, and have the same name as the project '4600169'. Please ensure this folder exists.</t>
  </si>
  <si>
    <t>An error occured locating the image Folder C:\Users\allan\OneDrive\New_Graph\Current\2020-025_cwf_elk\scripts\fish_passage_elk_2020_reporting\data\4600134. This folder must be located in the same directory as this submission sheet, and have the same name as the project '4600134'. Please ensure this folder exists.</t>
  </si>
  <si>
    <t>An error occured locating the image Folder C:\Users\allan\OneDrive\New_Graph\Current\2020-025_cwf_elk\scripts\fish_passage_elk_2020_reporting\data\4604455. This folder must be located in the same directory as this submission sheet, and have the same name as the project '4604455'. Please ensure this folder exists.</t>
  </si>
  <si>
    <t>An error occured locating the image Folder C:\Users\allan\OneDrive\New_Graph\Current\2020-025_cwf_elk\scripts\fish_passage_elk_2020_reporting\data\4601639. This folder must be located in the same directory as this submission sheet, and have the same name as the project '4601639'. Please ensure this folder exists.</t>
  </si>
  <si>
    <t>An error occured locating the image Folder C:\Users\allan\OneDrive\New_Graph\Current\2020-025_cwf_elk\scripts\fish_passage_elk_2020_reporting\data\4601556. This folder must be located in the same directory as this submission sheet, and have the same name as the project '4601556'. Please ensure this folder exists.</t>
  </si>
  <si>
    <t>An error occured locating the image Folder C:\Users\allan\OneDrive\New_Graph\Current\2020-025_cwf_elk\scripts\fish_passage_elk_2020_reporting\data\4602349. This folder must be located in the same directory as this submission sheet, and have the same name as the project '4602349'. Please ensure this folder exists.</t>
  </si>
  <si>
    <t>An error occured locating the image Folder C:\Users\allan\OneDrive\New_Graph\Current\2020-025_cwf_elk\scripts\fish_passage_elk_2020_reporting\data\4600332. This folder must be located in the same directory as this submission sheet, and have the same name as the project '4600332'. Please ensure this folder exists.</t>
  </si>
  <si>
    <t>An error occured locating the image Folder C:\Users\allan\OneDrive\New_Graph\Current\2020-025_cwf_elk\scripts\fish_passage_elk_2020_reporting\data\4600026. This folder must be located in the same directory as this submission sheet, and have the same name as the project '4600026'. Please ensure this folder exists.</t>
  </si>
  <si>
    <t>An error occured locating the image Folder C:\Users\allan\OneDrive\New_Graph\Current\2020-025_cwf_elk\scripts\fish_passage_elk_2020_reporting\data\4600028. This folder must be located in the same directory as this submission sheet, and have the same name as the project '4600028'. Please ensure this folder exists.</t>
  </si>
  <si>
    <t>An error occured locating the image Folder C:\Users\allan\OneDrive\New_Graph\Current\2020-025_cwf_elk\scripts\fish_passage_elk_2020_reporting\data\4600157. This folder must be located in the same directory as this submission sheet, and have the same name as the project '4600157'. Please ensure this folder exists.</t>
  </si>
  <si>
    <t>An error occured locating the image Folder C:\Users\allan\OneDrive\New_Graph\Current\2020-025_cwf_elk\scripts\fish_passage_elk_2020_reporting\data\4600158. This folder must be located in the same directory as this submission sheet, and have the same name as the project '4600158'. Please ensure this folder exists.</t>
  </si>
  <si>
    <t>private</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</si>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</sst>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2" fontId="0" fillId="10" borderId="0" xfId="0" applyNumberFormat="1" applyFill="1" applyProtection="1">
      <protection locked="0"/>
    </xf>
    <xf numFmtId="0" fontId="0" fillId="1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BettyR@cwf-fcf.org"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7" sqref="B7"/>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236</v>
      </c>
    </row>
    <row r="5" spans="1:20" x14ac:dyDescent="0.25">
      <c r="A5" s="4" t="s">
        <v>58</v>
      </c>
      <c r="B5" t="s">
        <v>237</v>
      </c>
    </row>
    <row r="6" spans="1:20" x14ac:dyDescent="0.25">
      <c r="A6" s="4"/>
      <c r="B6" s="118"/>
    </row>
    <row r="7" spans="1:20" x14ac:dyDescent="0.25">
      <c r="A7" s="4" t="s">
        <v>86</v>
      </c>
      <c r="B7" s="119" t="s">
        <v>238</v>
      </c>
    </row>
    <row r="8" spans="1:20" x14ac:dyDescent="0.25">
      <c r="A8" s="4" t="s">
        <v>73</v>
      </c>
      <c r="B8" t="s">
        <v>239</v>
      </c>
    </row>
    <row r="9" spans="1:20" x14ac:dyDescent="0.25">
      <c r="A9" s="4" t="s">
        <v>74</v>
      </c>
      <c r="B9" t="s">
        <v>240</v>
      </c>
    </row>
    <row r="10" spans="1:20" x14ac:dyDescent="0.25">
      <c r="A10" s="4" t="s">
        <v>75</v>
      </c>
      <c r="B10" s="120" t="s">
        <v>241</v>
      </c>
    </row>
    <row r="11" spans="1:20" x14ac:dyDescent="0.25">
      <c r="A11" s="4"/>
      <c r="B11" s="118"/>
    </row>
    <row r="12" spans="1:20" x14ac:dyDescent="0.25">
      <c r="A12" s="4" t="s">
        <v>36</v>
      </c>
      <c r="B12" s="119" t="s">
        <v>313</v>
      </c>
    </row>
    <row r="13" spans="1:20" x14ac:dyDescent="0.25">
      <c r="A13" s="4" t="s">
        <v>37</v>
      </c>
      <c r="B13" t="s">
        <v>243</v>
      </c>
    </row>
    <row r="14" spans="1:20" x14ac:dyDescent="0.25">
      <c r="A14" s="4" t="s">
        <v>38</v>
      </c>
      <c r="B14" t="s">
        <v>244</v>
      </c>
    </row>
    <row r="15" spans="1:20" x14ac:dyDescent="0.25">
      <c r="A15" s="4" t="s">
        <v>39</v>
      </c>
      <c r="B15" s="120" t="s">
        <v>245</v>
      </c>
    </row>
    <row r="16" spans="1:20" x14ac:dyDescent="0.25">
      <c r="A16" s="4"/>
      <c r="B16" s="118"/>
    </row>
    <row r="17" spans="1:2" x14ac:dyDescent="0.25">
      <c r="A17" s="4" t="s">
        <v>40</v>
      </c>
      <c r="B17">
        <v>15000</v>
      </c>
    </row>
    <row r="18" spans="1:2" x14ac:dyDescent="0.25">
      <c r="A18" s="4" t="s">
        <v>41</v>
      </c>
      <c r="B18" t="s">
        <v>242</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C2E21B9-5C86-4C63-B1B0-C05F6F3FBB19}"/>
    <hyperlink ref="B15" r:id="rId2" xr:uid="{163B9A71-13CD-409A-BC0C-4D6B2E9D87E0}"/>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2370" topLeftCell="A59" activePane="bottomLeft"/>
      <selection activeCell="M1" sqref="M1"/>
      <selection pane="bottomLeft" activeCell="E71" sqref="E71"/>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103</v>
      </c>
      <c r="I5" s="11" t="s">
        <v>94</v>
      </c>
      <c r="J5" s="104"/>
      <c r="K5" s="11" t="s">
        <v>228</v>
      </c>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t="s">
        <v>145</v>
      </c>
      <c r="AO5" s="116">
        <v>10</v>
      </c>
      <c r="AP5" s="103" t="s">
        <v>147</v>
      </c>
    </row>
    <row r="6" spans="1:42" s="13" customFormat="1" ht="30" x14ac:dyDescent="0.25">
      <c r="A6" s="117">
        <v>44090</v>
      </c>
      <c r="B6" s="112"/>
      <c r="C6" s="116">
        <v>4605675</v>
      </c>
      <c r="D6" s="116" t="s">
        <v>92</v>
      </c>
      <c r="E6" s="77">
        <v>11</v>
      </c>
      <c r="F6" s="78">
        <v>645225</v>
      </c>
      <c r="G6" s="79">
        <v>5567096</v>
      </c>
      <c r="H6" s="11" t="s">
        <v>103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t="s">
        <v>145</v>
      </c>
      <c r="AO6" s="116">
        <v>10</v>
      </c>
      <c r="AP6" s="103" t="s">
        <v>148</v>
      </c>
    </row>
    <row r="7" spans="1:42" s="13" customFormat="1" ht="30" x14ac:dyDescent="0.25">
      <c r="A7" s="117">
        <v>44090</v>
      </c>
      <c r="B7" s="112"/>
      <c r="C7" s="116">
        <v>4605705</v>
      </c>
      <c r="D7" s="116" t="s">
        <v>92</v>
      </c>
      <c r="E7" s="77">
        <v>11</v>
      </c>
      <c r="F7" s="78">
        <v>643733</v>
      </c>
      <c r="G7" s="79">
        <v>5560586</v>
      </c>
      <c r="H7" s="11" t="s">
        <v>103</v>
      </c>
      <c r="I7" s="11" t="s">
        <v>94</v>
      </c>
      <c r="J7" s="104">
        <v>119.1</v>
      </c>
      <c r="K7" s="116" t="s">
        <v>220</v>
      </c>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101</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t="s">
        <v>233</v>
      </c>
      <c r="AO7" s="116">
        <v>2</v>
      </c>
      <c r="AP7" s="116" t="s">
        <v>149</v>
      </c>
    </row>
    <row r="8" spans="1:42" s="13" customFormat="1" x14ac:dyDescent="0.25">
      <c r="A8" s="117">
        <v>44090</v>
      </c>
      <c r="B8" s="110"/>
      <c r="C8" s="116">
        <v>4605708</v>
      </c>
      <c r="D8" s="116" t="s">
        <v>92</v>
      </c>
      <c r="E8" s="77">
        <v>11</v>
      </c>
      <c r="F8" s="78">
        <v>643611</v>
      </c>
      <c r="G8" s="79">
        <v>5559835</v>
      </c>
      <c r="H8" s="116" t="s">
        <v>102</v>
      </c>
      <c r="I8" s="77" t="s">
        <v>94</v>
      </c>
      <c r="J8" s="105"/>
      <c r="K8" s="108" t="s">
        <v>228</v>
      </c>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101</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t="s">
        <v>233</v>
      </c>
      <c r="AO8" s="116">
        <v>2</v>
      </c>
      <c r="AP8" s="116" t="s">
        <v>150</v>
      </c>
    </row>
    <row r="9" spans="1:42" ht="30" x14ac:dyDescent="0.25">
      <c r="A9" s="117">
        <v>44090</v>
      </c>
      <c r="B9" s="111"/>
      <c r="C9" s="116">
        <v>4606835</v>
      </c>
      <c r="D9" s="116" t="s">
        <v>92</v>
      </c>
      <c r="E9" s="77">
        <v>11</v>
      </c>
      <c r="F9" s="78">
        <v>644829</v>
      </c>
      <c r="G9" s="79">
        <v>5559116</v>
      </c>
      <c r="H9" s="11" t="s">
        <v>93</v>
      </c>
      <c r="I9" s="77" t="s">
        <v>104</v>
      </c>
      <c r="J9" s="104"/>
      <c r="K9" s="108" t="s">
        <v>229</v>
      </c>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101</v>
      </c>
      <c r="AF9" s="22">
        <f t="shared" si="0"/>
        <v>2.5</v>
      </c>
      <c r="AG9" s="15">
        <f t="shared" si="1"/>
        <v>0</v>
      </c>
      <c r="AH9" s="7">
        <f t="shared" si="2"/>
        <v>10</v>
      </c>
      <c r="AI9" s="7">
        <f t="shared" si="3"/>
        <v>10</v>
      </c>
      <c r="AJ9" s="7">
        <f t="shared" si="4"/>
        <v>5</v>
      </c>
      <c r="AK9" s="12">
        <f t="shared" si="5"/>
        <v>6</v>
      </c>
      <c r="AL9" s="14">
        <f t="shared" si="6"/>
        <v>31</v>
      </c>
      <c r="AM9" s="16" t="str">
        <f t="shared" si="7"/>
        <v>Barrier</v>
      </c>
      <c r="AN9" s="116" t="s">
        <v>233</v>
      </c>
      <c r="AO9" s="116">
        <v>2</v>
      </c>
      <c r="AP9" s="116" t="s">
        <v>151</v>
      </c>
    </row>
    <row r="10" spans="1:42" ht="30" x14ac:dyDescent="0.25">
      <c r="A10" s="117">
        <v>44090</v>
      </c>
      <c r="B10" s="111"/>
      <c r="C10" s="116">
        <v>4606669</v>
      </c>
      <c r="D10" s="116" t="s">
        <v>92</v>
      </c>
      <c r="E10" s="77">
        <v>11</v>
      </c>
      <c r="F10" s="78">
        <v>646462</v>
      </c>
      <c r="G10" s="79">
        <v>5554360</v>
      </c>
      <c r="H10" s="103" t="s">
        <v>93</v>
      </c>
      <c r="I10" s="77" t="s">
        <v>104</v>
      </c>
      <c r="J10" s="104"/>
      <c r="K10" s="116" t="s">
        <v>230</v>
      </c>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101</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t="s">
        <v>146</v>
      </c>
      <c r="AO10" s="122"/>
      <c r="AP10" s="116" t="s">
        <v>152</v>
      </c>
    </row>
    <row r="11" spans="1:42" x14ac:dyDescent="0.25">
      <c r="A11" s="117">
        <v>44090</v>
      </c>
      <c r="B11" s="111"/>
      <c r="C11" s="103">
        <v>4605733</v>
      </c>
      <c r="D11" s="115" t="s">
        <v>92</v>
      </c>
      <c r="E11" s="115">
        <v>11</v>
      </c>
      <c r="F11" s="107">
        <v>647191</v>
      </c>
      <c r="G11" s="106">
        <v>5552693</v>
      </c>
      <c r="H11" s="103" t="s">
        <v>103</v>
      </c>
      <c r="I11" s="77" t="s">
        <v>94</v>
      </c>
      <c r="J11" s="104"/>
      <c r="K11" s="115" t="s">
        <v>228</v>
      </c>
      <c r="L11" s="116" t="s">
        <v>95</v>
      </c>
      <c r="M11" s="116" t="s">
        <v>96</v>
      </c>
      <c r="N11" s="113">
        <v>1.2</v>
      </c>
      <c r="O11" s="113">
        <v>9.5</v>
      </c>
      <c r="P11" s="115" t="s">
        <v>97</v>
      </c>
      <c r="Q11" s="123"/>
      <c r="R11" s="115" t="s">
        <v>97</v>
      </c>
      <c r="S11" s="115" t="s">
        <v>97</v>
      </c>
      <c r="T11" s="123"/>
      <c r="U11" s="113">
        <v>1</v>
      </c>
      <c r="V11" s="115">
        <v>0.3</v>
      </c>
      <c r="W11" s="113">
        <v>0.6</v>
      </c>
      <c r="X11" s="115" t="s">
        <v>97</v>
      </c>
      <c r="Y11" s="113">
        <v>1</v>
      </c>
      <c r="Z11" s="113">
        <v>3.1</v>
      </c>
      <c r="AA11" s="115">
        <v>2</v>
      </c>
      <c r="AB11" s="115" t="s">
        <v>97</v>
      </c>
      <c r="AC11" s="115" t="s">
        <v>97</v>
      </c>
      <c r="AD11" s="115" t="s">
        <v>99</v>
      </c>
      <c r="AE11" s="115" t="s">
        <v>101</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t="s">
        <v>145</v>
      </c>
      <c r="AO11" s="116">
        <v>10</v>
      </c>
      <c r="AP11" s="116" t="s">
        <v>153</v>
      </c>
    </row>
    <row r="12" spans="1:42" x14ac:dyDescent="0.25">
      <c r="A12" s="117">
        <v>44090</v>
      </c>
      <c r="B12" s="73"/>
      <c r="C12" s="25">
        <v>4605697</v>
      </c>
      <c r="D12" s="25" t="s">
        <v>92</v>
      </c>
      <c r="E12" s="77">
        <v>11</v>
      </c>
      <c r="F12" s="78">
        <v>648722</v>
      </c>
      <c r="G12" s="79">
        <v>5548198</v>
      </c>
      <c r="H12" s="77" t="s">
        <v>204</v>
      </c>
      <c r="I12" s="77" t="s">
        <v>94</v>
      </c>
      <c r="J12" s="42"/>
      <c r="K12" s="77" t="s">
        <v>228</v>
      </c>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101</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t="s">
        <v>145</v>
      </c>
      <c r="AO12" s="114">
        <v>10</v>
      </c>
      <c r="AP12" s="25" t="s">
        <v>154</v>
      </c>
    </row>
    <row r="13" spans="1:42" ht="30" x14ac:dyDescent="0.25">
      <c r="A13" s="117">
        <v>44091</v>
      </c>
      <c r="B13" s="76"/>
      <c r="C13" s="25">
        <v>4600329</v>
      </c>
      <c r="D13" s="25" t="s">
        <v>92</v>
      </c>
      <c r="E13" s="77">
        <v>11</v>
      </c>
      <c r="F13" s="78">
        <v>652325</v>
      </c>
      <c r="G13" s="79">
        <v>5515789</v>
      </c>
      <c r="H13" s="77" t="s">
        <v>205</v>
      </c>
      <c r="I13" s="77" t="s">
        <v>105</v>
      </c>
      <c r="J13" s="80"/>
      <c r="K13" s="77" t="s">
        <v>221</v>
      </c>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101</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t="s">
        <v>233</v>
      </c>
      <c r="AO13" s="114">
        <v>2</v>
      </c>
      <c r="AP13" s="25" t="s">
        <v>155</v>
      </c>
    </row>
    <row r="14" spans="1:42" ht="30" x14ac:dyDescent="0.25">
      <c r="A14" s="117">
        <v>44091</v>
      </c>
      <c r="B14" s="76"/>
      <c r="C14" s="25">
        <v>4600084</v>
      </c>
      <c r="D14" s="25" t="s">
        <v>92</v>
      </c>
      <c r="E14" s="77">
        <v>11</v>
      </c>
      <c r="F14" s="78">
        <v>651532</v>
      </c>
      <c r="G14" s="79">
        <v>5521052</v>
      </c>
      <c r="H14" s="77" t="s">
        <v>206</v>
      </c>
      <c r="I14" s="77" t="s">
        <v>105</v>
      </c>
      <c r="J14" s="80"/>
      <c r="K14" s="77" t="s">
        <v>221</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101</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t="s">
        <v>233</v>
      </c>
      <c r="AO14" s="114">
        <v>2</v>
      </c>
      <c r="AP14" s="25" t="s">
        <v>156</v>
      </c>
    </row>
    <row r="15" spans="1:42" x14ac:dyDescent="0.25">
      <c r="A15" s="117">
        <v>44091</v>
      </c>
      <c r="B15" s="76"/>
      <c r="C15" s="25">
        <v>4600040</v>
      </c>
      <c r="D15" s="25" t="s">
        <v>92</v>
      </c>
      <c r="E15" s="77">
        <v>11</v>
      </c>
      <c r="F15" s="78">
        <v>652004</v>
      </c>
      <c r="G15" s="79">
        <v>5522330</v>
      </c>
      <c r="H15" s="77" t="s">
        <v>207</v>
      </c>
      <c r="I15" s="77" t="s">
        <v>106</v>
      </c>
      <c r="J15" s="80"/>
      <c r="K15" s="77" t="s">
        <v>222</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157</v>
      </c>
    </row>
    <row r="16" spans="1:42" x14ac:dyDescent="0.25">
      <c r="A16" s="117">
        <v>44091</v>
      </c>
      <c r="B16" s="76"/>
      <c r="C16" s="25">
        <v>4600037</v>
      </c>
      <c r="D16" s="25" t="s">
        <v>92</v>
      </c>
      <c r="E16" s="77">
        <v>11</v>
      </c>
      <c r="F16" s="78">
        <v>651867</v>
      </c>
      <c r="G16" s="79">
        <v>5522741</v>
      </c>
      <c r="H16" s="77" t="s">
        <v>207</v>
      </c>
      <c r="I16" s="77" t="s">
        <v>107</v>
      </c>
      <c r="J16" s="80"/>
      <c r="K16" s="77" t="s">
        <v>312</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t="s">
        <v>145</v>
      </c>
      <c r="AO16" s="114">
        <v>10</v>
      </c>
      <c r="AP16" s="25" t="s">
        <v>158</v>
      </c>
    </row>
    <row r="17" spans="1:42" x14ac:dyDescent="0.25">
      <c r="A17" s="117">
        <v>44091</v>
      </c>
      <c r="B17" s="76"/>
      <c r="C17" s="25">
        <v>4600038</v>
      </c>
      <c r="D17" s="25" t="s">
        <v>92</v>
      </c>
      <c r="E17" s="77">
        <v>11</v>
      </c>
      <c r="F17" s="78">
        <v>651917</v>
      </c>
      <c r="G17" s="79">
        <v>5522888</v>
      </c>
      <c r="H17" s="77" t="s">
        <v>207</v>
      </c>
      <c r="I17" s="77" t="s">
        <v>107</v>
      </c>
      <c r="J17" s="80"/>
      <c r="K17" s="77" t="s">
        <v>312</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t="s">
        <v>233</v>
      </c>
      <c r="AO17" s="114">
        <v>2</v>
      </c>
      <c r="AP17" s="25" t="s">
        <v>159</v>
      </c>
    </row>
    <row r="18" spans="1:42" x14ac:dyDescent="0.25">
      <c r="A18" s="117">
        <v>44091</v>
      </c>
      <c r="B18" s="76"/>
      <c r="C18" s="25">
        <v>4600183</v>
      </c>
      <c r="D18" s="25" t="s">
        <v>92</v>
      </c>
      <c r="E18" s="77">
        <v>11</v>
      </c>
      <c r="F18" s="78">
        <v>651626</v>
      </c>
      <c r="G18" s="79">
        <v>5528888</v>
      </c>
      <c r="H18" s="77" t="s">
        <v>208</v>
      </c>
      <c r="I18" s="77" t="s">
        <v>109</v>
      </c>
      <c r="J18" s="80"/>
      <c r="K18" s="77" t="s">
        <v>222</v>
      </c>
      <c r="L18" s="25" t="s">
        <v>95</v>
      </c>
      <c r="M18" s="25" t="s">
        <v>110</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111</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t="s">
        <v>145</v>
      </c>
      <c r="AO18" s="114">
        <v>14.2</v>
      </c>
      <c r="AP18" s="25" t="s">
        <v>160</v>
      </c>
    </row>
    <row r="19" spans="1:42" ht="30" x14ac:dyDescent="0.25">
      <c r="A19" s="117">
        <v>44091</v>
      </c>
      <c r="B19" s="76"/>
      <c r="C19" s="25">
        <v>4600069</v>
      </c>
      <c r="D19" s="25" t="s">
        <v>92</v>
      </c>
      <c r="E19" s="77">
        <v>11</v>
      </c>
      <c r="F19" s="78">
        <v>650144</v>
      </c>
      <c r="G19" s="79">
        <v>5532055</v>
      </c>
      <c r="H19" s="77" t="s">
        <v>209</v>
      </c>
      <c r="I19" s="77" t="s">
        <v>112</v>
      </c>
      <c r="J19" s="42"/>
      <c r="K19" s="77" t="s">
        <v>223</v>
      </c>
      <c r="L19" s="25" t="s">
        <v>95</v>
      </c>
      <c r="M19" s="25" t="s">
        <v>96</v>
      </c>
      <c r="N19" s="114">
        <v>3.2</v>
      </c>
      <c r="O19" s="114">
        <v>18.2</v>
      </c>
      <c r="P19" s="116" t="s">
        <v>97</v>
      </c>
      <c r="Q19" s="121"/>
      <c r="R19" s="116" t="s">
        <v>97</v>
      </c>
      <c r="S19" s="116" t="s">
        <v>97</v>
      </c>
      <c r="T19" s="122"/>
      <c r="U19" s="114">
        <v>1.3</v>
      </c>
      <c r="V19" s="116">
        <v>0.15</v>
      </c>
      <c r="W19" s="114">
        <v>0.6</v>
      </c>
      <c r="X19" s="116" t="s">
        <v>98</v>
      </c>
      <c r="Y19" s="114">
        <v>3.4</v>
      </c>
      <c r="Z19" s="114">
        <v>4.3</v>
      </c>
      <c r="AA19" s="116">
        <v>2</v>
      </c>
      <c r="AB19" s="25" t="s">
        <v>97</v>
      </c>
      <c r="AC19" s="25" t="s">
        <v>97</v>
      </c>
      <c r="AD19" s="116" t="s">
        <v>99</v>
      </c>
      <c r="AE19" s="116" t="s">
        <v>111</v>
      </c>
      <c r="AF19" s="22">
        <f t="shared" si="8"/>
        <v>1.3437499999999998</v>
      </c>
      <c r="AG19" s="15">
        <f t="shared" si="1"/>
        <v>3</v>
      </c>
      <c r="AH19" s="7">
        <f t="shared" si="2"/>
        <v>10</v>
      </c>
      <c r="AI19" s="7">
        <f t="shared" si="3"/>
        <v>5</v>
      </c>
      <c r="AJ19" s="7">
        <f t="shared" si="4"/>
        <v>10</v>
      </c>
      <c r="AK19" s="12">
        <f t="shared" si="5"/>
        <v>6</v>
      </c>
      <c r="AL19" s="14">
        <f t="shared" si="9"/>
        <v>34</v>
      </c>
      <c r="AM19" s="16" t="str">
        <f t="shared" si="7"/>
        <v>Barrier</v>
      </c>
      <c r="AN19" s="116" t="s">
        <v>145</v>
      </c>
      <c r="AO19" s="114">
        <v>10</v>
      </c>
      <c r="AP19" s="25" t="s">
        <v>247</v>
      </c>
    </row>
    <row r="20" spans="1:42" x14ac:dyDescent="0.25">
      <c r="A20" s="117">
        <v>44092</v>
      </c>
      <c r="B20" s="76"/>
      <c r="C20" s="25">
        <v>4601205</v>
      </c>
      <c r="D20" s="25" t="s">
        <v>92</v>
      </c>
      <c r="E20" s="77">
        <v>11</v>
      </c>
      <c r="F20" s="78">
        <v>650917</v>
      </c>
      <c r="G20" s="79">
        <v>5528513</v>
      </c>
      <c r="H20" s="25" t="s">
        <v>208</v>
      </c>
      <c r="I20" s="77" t="s">
        <v>108</v>
      </c>
      <c r="J20" s="42"/>
      <c r="K20" s="77" t="s">
        <v>312</v>
      </c>
      <c r="L20" s="25" t="s">
        <v>113</v>
      </c>
      <c r="M20" s="25" t="s">
        <v>114</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4"/>
      <c r="AP20" s="25" t="s">
        <v>161</v>
      </c>
    </row>
    <row r="21" spans="1:42" x14ac:dyDescent="0.25">
      <c r="A21" s="117">
        <v>44092</v>
      </c>
      <c r="B21" s="76"/>
      <c r="C21" s="25">
        <v>4602276</v>
      </c>
      <c r="D21" s="25" t="s">
        <v>115</v>
      </c>
      <c r="E21" s="25">
        <v>11</v>
      </c>
      <c r="F21" s="75">
        <v>649758</v>
      </c>
      <c r="G21" s="81">
        <v>5527935</v>
      </c>
      <c r="H21" s="25" t="s">
        <v>208</v>
      </c>
      <c r="I21" s="25" t="s">
        <v>116</v>
      </c>
      <c r="J21" s="42"/>
      <c r="K21" s="25" t="s">
        <v>235</v>
      </c>
      <c r="L21" s="25" t="s">
        <v>113</v>
      </c>
      <c r="M21" s="25" t="s">
        <v>114</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25"/>
      <c r="AO21" s="124"/>
      <c r="AP21" s="25" t="s">
        <v>162</v>
      </c>
    </row>
    <row r="22" spans="1:42" ht="30" x14ac:dyDescent="0.25">
      <c r="A22" s="117">
        <v>44092</v>
      </c>
      <c r="B22" s="76"/>
      <c r="C22" s="25">
        <v>4600184</v>
      </c>
      <c r="D22" s="25" t="s">
        <v>92</v>
      </c>
      <c r="E22" s="77">
        <v>11</v>
      </c>
      <c r="F22" s="78">
        <v>650954</v>
      </c>
      <c r="G22" s="79">
        <v>5522199</v>
      </c>
      <c r="H22" s="77" t="s">
        <v>210</v>
      </c>
      <c r="I22" s="77" t="s">
        <v>112</v>
      </c>
      <c r="J22" s="80"/>
      <c r="K22" s="77" t="s">
        <v>223</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t="s">
        <v>233</v>
      </c>
      <c r="AO22" s="114">
        <v>2</v>
      </c>
      <c r="AP22" s="25" t="s">
        <v>163</v>
      </c>
    </row>
    <row r="23" spans="1:42" ht="30" x14ac:dyDescent="0.25">
      <c r="A23" s="117">
        <v>44092</v>
      </c>
      <c r="B23" s="76"/>
      <c r="C23" s="25">
        <v>4600185</v>
      </c>
      <c r="D23" s="25" t="s">
        <v>92</v>
      </c>
      <c r="E23" s="77">
        <v>11</v>
      </c>
      <c r="F23" s="78">
        <v>651002</v>
      </c>
      <c r="G23" s="79">
        <v>5521022</v>
      </c>
      <c r="H23" s="77" t="s">
        <v>206</v>
      </c>
      <c r="I23" s="77" t="s">
        <v>112</v>
      </c>
      <c r="J23" s="80"/>
      <c r="K23" s="77" t="s">
        <v>223</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t="s">
        <v>233</v>
      </c>
      <c r="AO23" s="114">
        <v>2</v>
      </c>
      <c r="AP23" s="25" t="s">
        <v>164</v>
      </c>
    </row>
    <row r="24" spans="1:42" x14ac:dyDescent="0.25">
      <c r="A24" s="117">
        <v>44092</v>
      </c>
      <c r="B24" s="76"/>
      <c r="C24" s="25">
        <v>2020091801</v>
      </c>
      <c r="D24" s="25" t="s">
        <v>92</v>
      </c>
      <c r="E24" s="77">
        <v>11</v>
      </c>
      <c r="F24" s="78">
        <v>648381</v>
      </c>
      <c r="G24" s="79">
        <v>5499536</v>
      </c>
      <c r="H24" s="77" t="s">
        <v>211</v>
      </c>
      <c r="I24" s="77" t="s">
        <v>117</v>
      </c>
      <c r="J24" s="80"/>
      <c r="K24" s="77" t="s">
        <v>231</v>
      </c>
      <c r="L24" s="25" t="s">
        <v>118</v>
      </c>
      <c r="M24" s="25" t="s">
        <v>119</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t="s">
        <v>165</v>
      </c>
    </row>
    <row r="25" spans="1:42" ht="30" x14ac:dyDescent="0.25">
      <c r="A25" s="117">
        <v>44092</v>
      </c>
      <c r="B25" s="76"/>
      <c r="C25" s="25">
        <v>4607023</v>
      </c>
      <c r="D25" s="25" t="s">
        <v>92</v>
      </c>
      <c r="E25" s="77">
        <v>11</v>
      </c>
      <c r="F25" s="78">
        <v>648041</v>
      </c>
      <c r="G25" s="79">
        <v>5499983</v>
      </c>
      <c r="H25" s="77" t="s">
        <v>211</v>
      </c>
      <c r="I25" s="77"/>
      <c r="J25" s="80"/>
      <c r="K25" s="77" t="s">
        <v>232</v>
      </c>
      <c r="L25" s="25" t="s">
        <v>118</v>
      </c>
      <c r="M25" s="25" t="s">
        <v>119</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165</v>
      </c>
    </row>
    <row r="26" spans="1:42" ht="30" x14ac:dyDescent="0.25">
      <c r="A26" s="117">
        <v>44092</v>
      </c>
      <c r="B26" s="76"/>
      <c r="C26" s="25">
        <v>4604198</v>
      </c>
      <c r="D26" s="25" t="s">
        <v>92</v>
      </c>
      <c r="E26" s="77">
        <v>11</v>
      </c>
      <c r="F26" s="78">
        <v>647819</v>
      </c>
      <c r="G26" s="79">
        <v>5498551</v>
      </c>
      <c r="H26" s="77" t="s">
        <v>103</v>
      </c>
      <c r="I26" s="77" t="s">
        <v>117</v>
      </c>
      <c r="J26" s="80"/>
      <c r="K26" s="77" t="s">
        <v>231</v>
      </c>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t="s">
        <v>145</v>
      </c>
      <c r="AO26" s="114">
        <v>13</v>
      </c>
      <c r="AP26" s="25" t="s">
        <v>166</v>
      </c>
    </row>
    <row r="27" spans="1:42" ht="30" x14ac:dyDescent="0.25">
      <c r="A27" s="117">
        <v>44092</v>
      </c>
      <c r="B27" s="76"/>
      <c r="C27" s="25">
        <v>4600367</v>
      </c>
      <c r="D27" s="25" t="s">
        <v>92</v>
      </c>
      <c r="E27" s="77">
        <v>11</v>
      </c>
      <c r="F27" s="78">
        <v>643534</v>
      </c>
      <c r="G27" s="79">
        <v>5490723</v>
      </c>
      <c r="H27" s="77" t="s">
        <v>212</v>
      </c>
      <c r="I27" s="77" t="s">
        <v>120</v>
      </c>
      <c r="J27" s="80"/>
      <c r="K27" s="77" t="s">
        <v>224</v>
      </c>
      <c r="L27" s="25" t="s">
        <v>95</v>
      </c>
      <c r="M27" s="25" t="s">
        <v>110</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111</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t="s">
        <v>145</v>
      </c>
      <c r="AO27" s="114">
        <v>10</v>
      </c>
      <c r="AP27" s="25" t="s">
        <v>167</v>
      </c>
    </row>
    <row r="28" spans="1:42" ht="30" x14ac:dyDescent="0.25">
      <c r="A28" s="117">
        <v>44096</v>
      </c>
      <c r="B28" s="76"/>
      <c r="C28" s="25">
        <v>2020092201</v>
      </c>
      <c r="D28" s="25" t="s">
        <v>92</v>
      </c>
      <c r="E28" s="77">
        <v>11</v>
      </c>
      <c r="F28" s="78">
        <v>634969</v>
      </c>
      <c r="G28" s="79">
        <v>5484828</v>
      </c>
      <c r="H28" s="77" t="s">
        <v>213</v>
      </c>
      <c r="I28" s="77" t="s">
        <v>121</v>
      </c>
      <c r="J28" s="80"/>
      <c r="K28" s="77" t="s">
        <v>220</v>
      </c>
      <c r="L28" s="25" t="s">
        <v>118</v>
      </c>
      <c r="M28" s="25" t="s">
        <v>119</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168</v>
      </c>
    </row>
    <row r="29" spans="1:42" ht="30" x14ac:dyDescent="0.25">
      <c r="A29" s="117">
        <v>44097</v>
      </c>
      <c r="B29" s="76"/>
      <c r="C29" s="25">
        <v>2020092301</v>
      </c>
      <c r="D29" s="25" t="s">
        <v>92</v>
      </c>
      <c r="E29" s="77">
        <v>11</v>
      </c>
      <c r="F29" s="78">
        <v>636474</v>
      </c>
      <c r="G29" s="79">
        <v>5483873</v>
      </c>
      <c r="H29" s="77" t="s">
        <v>213</v>
      </c>
      <c r="I29" s="77" t="s">
        <v>122</v>
      </c>
      <c r="J29" s="80"/>
      <c r="K29" s="77" t="s">
        <v>220</v>
      </c>
      <c r="L29" s="25" t="s">
        <v>118</v>
      </c>
      <c r="M29" s="25" t="s">
        <v>119</v>
      </c>
      <c r="N29" s="114">
        <v>1.2</v>
      </c>
      <c r="O29" s="114">
        <v>8</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169</v>
      </c>
    </row>
    <row r="30" spans="1:42" ht="30" x14ac:dyDescent="0.25">
      <c r="A30" s="117">
        <v>44097</v>
      </c>
      <c r="B30" s="76"/>
      <c r="C30" s="25">
        <v>4600077</v>
      </c>
      <c r="D30" s="25" t="s">
        <v>92</v>
      </c>
      <c r="E30" s="77">
        <v>11</v>
      </c>
      <c r="F30" s="78">
        <v>639864</v>
      </c>
      <c r="G30" s="79">
        <v>5483627</v>
      </c>
      <c r="H30" s="77" t="s">
        <v>103</v>
      </c>
      <c r="I30" s="77" t="s">
        <v>123</v>
      </c>
      <c r="J30" s="80"/>
      <c r="K30" s="77" t="s">
        <v>225</v>
      </c>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101</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170</v>
      </c>
    </row>
    <row r="31" spans="1:42" ht="30" x14ac:dyDescent="0.25">
      <c r="A31" s="117">
        <v>44097</v>
      </c>
      <c r="B31" s="76"/>
      <c r="C31" s="25">
        <v>4600102</v>
      </c>
      <c r="D31" s="25" t="s">
        <v>124</v>
      </c>
      <c r="E31" s="77">
        <v>11</v>
      </c>
      <c r="F31" s="78">
        <v>640306</v>
      </c>
      <c r="G31" s="79">
        <v>5481672</v>
      </c>
      <c r="H31" s="77" t="s">
        <v>103</v>
      </c>
      <c r="I31" s="77" t="s">
        <v>125</v>
      </c>
      <c r="J31" s="80"/>
      <c r="K31" s="77" t="s">
        <v>222</v>
      </c>
      <c r="L31" s="25" t="s">
        <v>95</v>
      </c>
      <c r="M31" s="25" t="s">
        <v>96</v>
      </c>
      <c r="N31" s="114">
        <v>0.5</v>
      </c>
      <c r="O31" s="114">
        <v>16</v>
      </c>
      <c r="P31" s="116" t="s">
        <v>97</v>
      </c>
      <c r="Q31" s="122"/>
      <c r="R31" s="116" t="s">
        <v>97</v>
      </c>
      <c r="S31" s="116" t="s">
        <v>97</v>
      </c>
      <c r="T31" s="122"/>
      <c r="U31" s="114">
        <v>1</v>
      </c>
      <c r="V31" s="116">
        <v>0</v>
      </c>
      <c r="W31" s="114">
        <v>0</v>
      </c>
      <c r="X31" s="116" t="s">
        <v>97</v>
      </c>
      <c r="Y31" s="114">
        <v>1</v>
      </c>
      <c r="Z31" s="114">
        <v>0.5</v>
      </c>
      <c r="AA31" s="116">
        <v>0</v>
      </c>
      <c r="AB31" s="25" t="s">
        <v>97</v>
      </c>
      <c r="AC31" s="25" t="s">
        <v>97</v>
      </c>
      <c r="AD31" s="116" t="s">
        <v>99</v>
      </c>
      <c r="AE31" s="116" t="s">
        <v>101</v>
      </c>
      <c r="AF31" s="22">
        <f t="shared" si="8"/>
        <v>1</v>
      </c>
      <c r="AG31" s="15">
        <f t="shared" si="1"/>
        <v>3</v>
      </c>
      <c r="AH31" s="7">
        <f t="shared" si="2"/>
        <v>10</v>
      </c>
      <c r="AI31" s="7">
        <f t="shared" si="3"/>
        <v>0</v>
      </c>
      <c r="AJ31" s="7">
        <f t="shared" si="4"/>
        <v>5</v>
      </c>
      <c r="AK31" s="12">
        <f t="shared" si="5"/>
        <v>3</v>
      </c>
      <c r="AL31" s="14">
        <f t="shared" si="9"/>
        <v>21</v>
      </c>
      <c r="AM31" s="16" t="str">
        <f t="shared" si="7"/>
        <v>Barrier</v>
      </c>
      <c r="AN31" s="116" t="s">
        <v>233</v>
      </c>
      <c r="AO31" s="114">
        <v>2</v>
      </c>
      <c r="AP31" s="25" t="s">
        <v>171</v>
      </c>
    </row>
    <row r="32" spans="1:42" ht="30" x14ac:dyDescent="0.25">
      <c r="A32" s="117">
        <v>44097</v>
      </c>
      <c r="B32" s="76"/>
      <c r="C32" s="25">
        <v>4603265</v>
      </c>
      <c r="D32" s="25" t="s">
        <v>92</v>
      </c>
      <c r="E32" s="77">
        <v>11</v>
      </c>
      <c r="F32" s="78">
        <v>640287</v>
      </c>
      <c r="G32" s="79">
        <v>5481650</v>
      </c>
      <c r="H32" s="77" t="s">
        <v>103</v>
      </c>
      <c r="I32" s="77" t="s">
        <v>126</v>
      </c>
      <c r="J32" s="80"/>
      <c r="K32" s="77" t="s">
        <v>226</v>
      </c>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101</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172</v>
      </c>
    </row>
    <row r="33" spans="1:42" ht="30" x14ac:dyDescent="0.25">
      <c r="A33" s="117">
        <v>44097</v>
      </c>
      <c r="B33" s="76"/>
      <c r="C33" s="25">
        <v>4600008</v>
      </c>
      <c r="D33" s="25" t="s">
        <v>92</v>
      </c>
      <c r="E33" s="77">
        <v>11</v>
      </c>
      <c r="F33" s="78">
        <v>640268</v>
      </c>
      <c r="G33" s="79">
        <v>5481377</v>
      </c>
      <c r="H33" s="77" t="s">
        <v>103</v>
      </c>
      <c r="I33" s="77" t="s">
        <v>127</v>
      </c>
      <c r="J33" s="80"/>
      <c r="K33" s="77" t="s">
        <v>222</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101</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173</v>
      </c>
    </row>
    <row r="34" spans="1:42" ht="30" x14ac:dyDescent="0.25">
      <c r="A34" s="117">
        <v>44097</v>
      </c>
      <c r="B34" s="76"/>
      <c r="C34" s="25">
        <v>2020092302</v>
      </c>
      <c r="D34" s="25" t="s">
        <v>92</v>
      </c>
      <c r="E34" s="77">
        <v>11</v>
      </c>
      <c r="F34" s="78">
        <v>640218</v>
      </c>
      <c r="G34" s="79">
        <v>5481065</v>
      </c>
      <c r="H34" s="77" t="s">
        <v>103</v>
      </c>
      <c r="I34" s="77" t="s">
        <v>128</v>
      </c>
      <c r="J34" s="80"/>
      <c r="K34" s="77" t="s">
        <v>220</v>
      </c>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101</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172</v>
      </c>
    </row>
    <row r="35" spans="1:42" ht="30" x14ac:dyDescent="0.25">
      <c r="A35" s="117">
        <v>44097</v>
      </c>
      <c r="B35" s="76"/>
      <c r="C35" s="25">
        <v>2020092303</v>
      </c>
      <c r="D35" s="25" t="s">
        <v>92</v>
      </c>
      <c r="E35" s="77">
        <v>11</v>
      </c>
      <c r="F35" s="78">
        <v>640227</v>
      </c>
      <c r="G35" s="79">
        <v>5481028</v>
      </c>
      <c r="H35" s="77" t="s">
        <v>103</v>
      </c>
      <c r="I35" s="77" t="s">
        <v>107</v>
      </c>
      <c r="J35" s="80"/>
      <c r="K35" s="77" t="s">
        <v>220</v>
      </c>
      <c r="L35" s="25" t="s">
        <v>95</v>
      </c>
      <c r="M35" s="25" t="s">
        <v>96</v>
      </c>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101</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t="s">
        <v>233</v>
      </c>
      <c r="AO35" s="114">
        <v>2</v>
      </c>
      <c r="AP35" s="25" t="s">
        <v>174</v>
      </c>
    </row>
    <row r="36" spans="1:42" ht="30" x14ac:dyDescent="0.25">
      <c r="A36" s="117">
        <v>44090</v>
      </c>
      <c r="B36" s="76"/>
      <c r="C36" s="25">
        <v>4605636</v>
      </c>
      <c r="D36" s="25" t="s">
        <v>129</v>
      </c>
      <c r="E36" s="77">
        <v>11</v>
      </c>
      <c r="F36" s="78">
        <v>644148</v>
      </c>
      <c r="G36" s="79">
        <v>5564425</v>
      </c>
      <c r="H36" s="77" t="s">
        <v>103</v>
      </c>
      <c r="I36" s="77" t="s">
        <v>94</v>
      </c>
      <c r="J36" s="80">
        <v>123</v>
      </c>
      <c r="K36" s="77" t="s">
        <v>228</v>
      </c>
      <c r="L36" s="25" t="s">
        <v>118</v>
      </c>
      <c r="M36" s="25" t="s">
        <v>130</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175</v>
      </c>
    </row>
    <row r="37" spans="1:42" ht="30" x14ac:dyDescent="0.25">
      <c r="A37" s="117">
        <v>44090</v>
      </c>
      <c r="B37" s="76"/>
      <c r="C37" s="25">
        <v>4605707</v>
      </c>
      <c r="D37" s="25" t="s">
        <v>129</v>
      </c>
      <c r="E37" s="77">
        <v>11</v>
      </c>
      <c r="F37" s="78">
        <v>643981</v>
      </c>
      <c r="G37" s="79">
        <v>5561132</v>
      </c>
      <c r="H37" s="77" t="s">
        <v>103</v>
      </c>
      <c r="I37" s="77" t="s">
        <v>94</v>
      </c>
      <c r="J37" s="80">
        <v>119.8</v>
      </c>
      <c r="K37" s="77" t="s">
        <v>228</v>
      </c>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101</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t="s">
        <v>145</v>
      </c>
      <c r="AO37" s="114">
        <v>10</v>
      </c>
      <c r="AP37" s="25" t="s">
        <v>176</v>
      </c>
    </row>
    <row r="38" spans="1:42" x14ac:dyDescent="0.25">
      <c r="A38" s="117">
        <v>44090</v>
      </c>
      <c r="B38" s="76"/>
      <c r="C38" s="25">
        <v>4605742</v>
      </c>
      <c r="D38" s="25" t="s">
        <v>129</v>
      </c>
      <c r="E38" s="77">
        <v>11</v>
      </c>
      <c r="F38" s="78">
        <v>643578</v>
      </c>
      <c r="G38" s="79">
        <v>5560087</v>
      </c>
      <c r="H38" s="77" t="s">
        <v>214</v>
      </c>
      <c r="I38" s="77" t="s">
        <v>94</v>
      </c>
      <c r="J38" s="80">
        <v>118.7</v>
      </c>
      <c r="K38" s="77" t="s">
        <v>228</v>
      </c>
      <c r="L38" s="25" t="s">
        <v>95</v>
      </c>
      <c r="M38" s="25" t="s">
        <v>96</v>
      </c>
      <c r="N38" s="114">
        <v>1.5</v>
      </c>
      <c r="O38" s="114">
        <v>15</v>
      </c>
      <c r="P38" s="116" t="s">
        <v>98</v>
      </c>
      <c r="Q38" s="114">
        <v>0.12</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111</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t="s">
        <v>145</v>
      </c>
      <c r="AO38" s="114">
        <v>10</v>
      </c>
      <c r="AP38" s="25" t="s">
        <v>177</v>
      </c>
    </row>
    <row r="39" spans="1:42" ht="30" x14ac:dyDescent="0.25">
      <c r="A39" s="117">
        <v>44090</v>
      </c>
      <c r="B39" s="76"/>
      <c r="C39" s="25">
        <v>4605649</v>
      </c>
      <c r="D39" s="25" t="s">
        <v>129</v>
      </c>
      <c r="E39" s="77">
        <v>11</v>
      </c>
      <c r="F39" s="78">
        <v>645873</v>
      </c>
      <c r="G39" s="79">
        <v>5556758</v>
      </c>
      <c r="H39" s="77" t="s">
        <v>103</v>
      </c>
      <c r="I39" s="77" t="s">
        <v>94</v>
      </c>
      <c r="J39" s="80">
        <v>114.5</v>
      </c>
      <c r="K39" s="77" t="s">
        <v>228</v>
      </c>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t="s">
        <v>233</v>
      </c>
      <c r="AO39" s="114">
        <v>2</v>
      </c>
      <c r="AP39" s="25" t="s">
        <v>178</v>
      </c>
    </row>
    <row r="40" spans="1:42" ht="30" x14ac:dyDescent="0.25">
      <c r="A40" s="117">
        <v>44090</v>
      </c>
      <c r="B40" s="76"/>
      <c r="C40" s="25">
        <v>4605732</v>
      </c>
      <c r="D40" s="25" t="s">
        <v>129</v>
      </c>
      <c r="E40" s="77">
        <v>11</v>
      </c>
      <c r="F40" s="78">
        <v>646735</v>
      </c>
      <c r="G40" s="79">
        <v>5554534</v>
      </c>
      <c r="H40" s="77" t="s">
        <v>103</v>
      </c>
      <c r="I40" s="77" t="s">
        <v>94</v>
      </c>
      <c r="J40" s="80">
        <v>112.3</v>
      </c>
      <c r="K40" s="77" t="s">
        <v>228</v>
      </c>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111</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145</v>
      </c>
      <c r="AO40" s="114">
        <v>25</v>
      </c>
      <c r="AP40" s="25" t="s">
        <v>179</v>
      </c>
    </row>
    <row r="41" spans="1:42" ht="30" x14ac:dyDescent="0.25">
      <c r="A41" s="117">
        <v>44091</v>
      </c>
      <c r="B41" s="76"/>
      <c r="C41" s="25">
        <v>4600090</v>
      </c>
      <c r="D41" s="25" t="s">
        <v>129</v>
      </c>
      <c r="E41" s="77">
        <v>11</v>
      </c>
      <c r="F41" s="78">
        <v>651814</v>
      </c>
      <c r="G41" s="79">
        <v>5519652</v>
      </c>
      <c r="H41" s="77" t="s">
        <v>103</v>
      </c>
      <c r="I41" s="77" t="s">
        <v>105</v>
      </c>
      <c r="J41" s="80"/>
      <c r="K41" s="77" t="s">
        <v>221</v>
      </c>
      <c r="L41" s="25" t="s">
        <v>95</v>
      </c>
      <c r="M41" s="25" t="s">
        <v>96</v>
      </c>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101</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t="s">
        <v>233</v>
      </c>
      <c r="AO41" s="114">
        <v>2</v>
      </c>
      <c r="AP41" s="25" t="s">
        <v>180</v>
      </c>
    </row>
    <row r="42" spans="1:42" ht="30" x14ac:dyDescent="0.25">
      <c r="A42" s="117">
        <v>44091</v>
      </c>
      <c r="B42" s="76"/>
      <c r="C42" s="25">
        <v>4600092</v>
      </c>
      <c r="D42" s="25" t="s">
        <v>129</v>
      </c>
      <c r="E42" s="77">
        <v>11</v>
      </c>
      <c r="F42" s="78">
        <v>651701</v>
      </c>
      <c r="G42" s="79">
        <v>5521881</v>
      </c>
      <c r="H42" s="77" t="s">
        <v>210</v>
      </c>
      <c r="I42" s="77" t="s">
        <v>105</v>
      </c>
      <c r="J42" s="80"/>
      <c r="K42" s="77" t="s">
        <v>221</v>
      </c>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101</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t="s">
        <v>233</v>
      </c>
      <c r="AO42" s="114">
        <v>2</v>
      </c>
      <c r="AP42" s="25" t="s">
        <v>181</v>
      </c>
    </row>
    <row r="43" spans="1:42" ht="30" x14ac:dyDescent="0.25">
      <c r="A43" s="117">
        <v>44091</v>
      </c>
      <c r="B43" s="76"/>
      <c r="C43" s="25">
        <v>4600039</v>
      </c>
      <c r="D43" s="25" t="s">
        <v>129</v>
      </c>
      <c r="E43" s="77">
        <v>11</v>
      </c>
      <c r="F43" s="78">
        <v>651833</v>
      </c>
      <c r="G43" s="79">
        <v>5522544</v>
      </c>
      <c r="H43" s="77" t="s">
        <v>207</v>
      </c>
      <c r="I43" s="77" t="s">
        <v>105</v>
      </c>
      <c r="J43" s="80"/>
      <c r="K43" s="77" t="s">
        <v>221</v>
      </c>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t="s">
        <v>145</v>
      </c>
      <c r="AO43" s="114">
        <v>10</v>
      </c>
      <c r="AP43" s="25" t="s">
        <v>182</v>
      </c>
    </row>
    <row r="44" spans="1:42" ht="30" x14ac:dyDescent="0.25">
      <c r="A44" s="117">
        <v>44091</v>
      </c>
      <c r="B44" s="76"/>
      <c r="C44" s="25">
        <v>4600070</v>
      </c>
      <c r="D44" s="25" t="s">
        <v>129</v>
      </c>
      <c r="E44" s="77">
        <v>11</v>
      </c>
      <c r="F44" s="78">
        <v>651516</v>
      </c>
      <c r="G44" s="79">
        <v>5528829</v>
      </c>
      <c r="H44" s="77" t="s">
        <v>208</v>
      </c>
      <c r="I44" s="77" t="s">
        <v>112</v>
      </c>
      <c r="J44" s="80"/>
      <c r="K44" s="77" t="s">
        <v>223</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t="s">
        <v>145</v>
      </c>
      <c r="AO44" s="114">
        <v>12.2</v>
      </c>
      <c r="AP44" s="25" t="s">
        <v>183</v>
      </c>
    </row>
    <row r="45" spans="1:42" ht="30" x14ac:dyDescent="0.25">
      <c r="A45" s="117">
        <v>44092</v>
      </c>
      <c r="B45" s="76"/>
      <c r="C45" s="25">
        <v>4600181</v>
      </c>
      <c r="D45" s="25" t="s">
        <v>129</v>
      </c>
      <c r="E45" s="77">
        <v>11</v>
      </c>
      <c r="F45" s="78">
        <v>652322</v>
      </c>
      <c r="G45" s="79">
        <v>5527529</v>
      </c>
      <c r="H45" s="77" t="s">
        <v>103</v>
      </c>
      <c r="I45" s="77" t="s">
        <v>131</v>
      </c>
      <c r="J45" s="80"/>
      <c r="K45" s="77" t="s">
        <v>222</v>
      </c>
      <c r="L45" s="25" t="s">
        <v>95</v>
      </c>
      <c r="M45" s="25" t="s">
        <v>96</v>
      </c>
      <c r="N45" s="114">
        <v>0.6</v>
      </c>
      <c r="O45" s="114">
        <v>73</v>
      </c>
      <c r="P45" s="116" t="s">
        <v>97</v>
      </c>
      <c r="Q45" s="122"/>
      <c r="R45" s="116" t="s">
        <v>97</v>
      </c>
      <c r="S45" s="116" t="s">
        <v>97</v>
      </c>
      <c r="T45" s="122"/>
      <c r="U45" s="114">
        <v>3.5</v>
      </c>
      <c r="V45" s="116">
        <v>0</v>
      </c>
      <c r="W45" s="114">
        <v>0</v>
      </c>
      <c r="X45" s="116" t="s">
        <v>97</v>
      </c>
      <c r="Y45" s="114">
        <v>2</v>
      </c>
      <c r="Z45" s="114">
        <v>0.5</v>
      </c>
      <c r="AA45" s="116">
        <v>2</v>
      </c>
      <c r="AB45" s="25" t="s">
        <v>97</v>
      </c>
      <c r="AC45" s="25" t="s">
        <v>97</v>
      </c>
      <c r="AD45" s="116" t="s">
        <v>99</v>
      </c>
      <c r="AE45" s="116" t="s">
        <v>101</v>
      </c>
      <c r="AF45" s="22">
        <f t="shared" si="8"/>
        <v>0.83333333333333337</v>
      </c>
      <c r="AG45" s="15">
        <f t="shared" si="1"/>
        <v>6</v>
      </c>
      <c r="AH45" s="7">
        <f t="shared" si="2"/>
        <v>10</v>
      </c>
      <c r="AI45" s="7">
        <f t="shared" si="3"/>
        <v>0</v>
      </c>
      <c r="AJ45" s="7">
        <f t="shared" si="4"/>
        <v>5</v>
      </c>
      <c r="AK45" s="12">
        <f t="shared" si="5"/>
        <v>0</v>
      </c>
      <c r="AL45" s="14">
        <f t="shared" si="9"/>
        <v>21</v>
      </c>
      <c r="AM45" s="16" t="str">
        <f t="shared" si="7"/>
        <v>Barrier</v>
      </c>
      <c r="AN45" s="116" t="s">
        <v>233</v>
      </c>
      <c r="AO45" s="114">
        <v>2</v>
      </c>
      <c r="AP45" s="25" t="s">
        <v>184</v>
      </c>
    </row>
    <row r="46" spans="1:42" ht="30" x14ac:dyDescent="0.25">
      <c r="A46" s="117">
        <v>44092</v>
      </c>
      <c r="B46" s="76"/>
      <c r="C46" s="25">
        <v>4600186</v>
      </c>
      <c r="D46" s="25" t="s">
        <v>129</v>
      </c>
      <c r="E46" s="77">
        <v>11</v>
      </c>
      <c r="F46" s="78">
        <v>651051</v>
      </c>
      <c r="G46" s="79">
        <v>5519343</v>
      </c>
      <c r="H46" s="77" t="s">
        <v>215</v>
      </c>
      <c r="I46" s="77" t="s">
        <v>112</v>
      </c>
      <c r="J46" s="80"/>
      <c r="K46" s="77" t="s">
        <v>223</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101</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t="s">
        <v>233</v>
      </c>
      <c r="AO46" s="114">
        <v>2</v>
      </c>
      <c r="AP46" s="25" t="s">
        <v>185</v>
      </c>
    </row>
    <row r="47" spans="1:42" ht="30" x14ac:dyDescent="0.25">
      <c r="A47" s="117">
        <v>44092</v>
      </c>
      <c r="B47" s="76"/>
      <c r="C47" s="25">
        <v>4600140</v>
      </c>
      <c r="D47" s="25" t="s">
        <v>129</v>
      </c>
      <c r="E47" s="77">
        <v>11</v>
      </c>
      <c r="F47" s="78">
        <v>651110</v>
      </c>
      <c r="G47" s="79">
        <v>5515356</v>
      </c>
      <c r="H47" s="77" t="s">
        <v>216</v>
      </c>
      <c r="I47" s="77" t="s">
        <v>112</v>
      </c>
      <c r="J47" s="80"/>
      <c r="K47" s="77" t="s">
        <v>221</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101</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t="s">
        <v>233</v>
      </c>
      <c r="AO47" s="114">
        <v>2</v>
      </c>
      <c r="AP47" s="25" t="s">
        <v>186</v>
      </c>
    </row>
    <row r="48" spans="1:42" x14ac:dyDescent="0.25">
      <c r="A48" s="117">
        <v>44094</v>
      </c>
      <c r="B48" s="76"/>
      <c r="C48" s="25">
        <v>4601129</v>
      </c>
      <c r="D48" s="25" t="s">
        <v>129</v>
      </c>
      <c r="E48" s="77">
        <v>11</v>
      </c>
      <c r="F48" s="78">
        <v>661062</v>
      </c>
      <c r="G48" s="79">
        <v>5524446</v>
      </c>
      <c r="H48" s="77" t="s">
        <v>217</v>
      </c>
      <c r="I48" s="77"/>
      <c r="J48" s="80"/>
      <c r="K48" s="77" t="s">
        <v>235</v>
      </c>
      <c r="L48" s="25" t="s">
        <v>113</v>
      </c>
      <c r="M48" s="25" t="s">
        <v>114</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25"/>
      <c r="AO48" s="122"/>
      <c r="AP48" s="25" t="s">
        <v>187</v>
      </c>
    </row>
    <row r="49" spans="1:42" x14ac:dyDescent="0.25">
      <c r="A49" s="117">
        <v>44094</v>
      </c>
      <c r="B49" s="76"/>
      <c r="C49" s="25">
        <v>4602533</v>
      </c>
      <c r="D49" s="25" t="s">
        <v>129</v>
      </c>
      <c r="E49" s="77">
        <v>11</v>
      </c>
      <c r="F49" s="78">
        <v>661172</v>
      </c>
      <c r="G49" s="79">
        <v>5524451</v>
      </c>
      <c r="H49" s="77" t="s">
        <v>217</v>
      </c>
      <c r="I49" s="77"/>
      <c r="J49" s="80"/>
      <c r="K49" s="77" t="s">
        <v>235</v>
      </c>
      <c r="L49" s="25" t="s">
        <v>95</v>
      </c>
      <c r="M49" s="25" t="s">
        <v>96</v>
      </c>
      <c r="N49" s="114">
        <v>0.6</v>
      </c>
      <c r="O49" s="114">
        <v>7.5</v>
      </c>
      <c r="P49" s="116" t="s">
        <v>97</v>
      </c>
      <c r="Q49" s="122"/>
      <c r="R49" s="116" t="s">
        <v>97</v>
      </c>
      <c r="S49" s="116" t="s">
        <v>97</v>
      </c>
      <c r="T49" s="122"/>
      <c r="U49" s="114">
        <v>0.35</v>
      </c>
      <c r="V49" s="116">
        <v>0</v>
      </c>
      <c r="W49" s="114">
        <v>0</v>
      </c>
      <c r="X49" s="116" t="s">
        <v>97</v>
      </c>
      <c r="Y49" s="114">
        <v>4</v>
      </c>
      <c r="Z49" s="114">
        <v>0.1</v>
      </c>
      <c r="AA49" s="116">
        <v>1</v>
      </c>
      <c r="AB49" s="25" t="s">
        <v>97</v>
      </c>
      <c r="AC49" s="25" t="s">
        <v>97</v>
      </c>
      <c r="AD49" s="116" t="s">
        <v>99</v>
      </c>
      <c r="AE49" s="116" t="s">
        <v>101</v>
      </c>
      <c r="AF49" s="22">
        <f t="shared" si="8"/>
        <v>0.16666666666666669</v>
      </c>
      <c r="AG49" s="15">
        <f t="shared" si="1"/>
        <v>0</v>
      </c>
      <c r="AH49" s="7">
        <f t="shared" si="2"/>
        <v>10</v>
      </c>
      <c r="AI49" s="7">
        <f t="shared" si="3"/>
        <v>0</v>
      </c>
      <c r="AJ49" s="7">
        <f t="shared" si="4"/>
        <v>10</v>
      </c>
      <c r="AK49" s="12">
        <f t="shared" si="5"/>
        <v>0</v>
      </c>
      <c r="AL49" s="14">
        <f t="shared" si="9"/>
        <v>20</v>
      </c>
      <c r="AM49" s="16" t="str">
        <f t="shared" si="7"/>
        <v>Barrier</v>
      </c>
      <c r="AN49" s="116" t="s">
        <v>233</v>
      </c>
      <c r="AO49" s="114">
        <v>2</v>
      </c>
      <c r="AP49" s="25" t="s">
        <v>188</v>
      </c>
    </row>
    <row r="50" spans="1:42" ht="30" x14ac:dyDescent="0.25">
      <c r="A50" s="117">
        <v>44094</v>
      </c>
      <c r="B50" s="76"/>
      <c r="C50" s="25">
        <v>4602270</v>
      </c>
      <c r="D50" s="25" t="s">
        <v>129</v>
      </c>
      <c r="E50" s="77">
        <v>11</v>
      </c>
      <c r="F50" s="78">
        <v>655441</v>
      </c>
      <c r="G50" s="79">
        <v>5524175</v>
      </c>
      <c r="H50" s="77" t="s">
        <v>218</v>
      </c>
      <c r="I50" s="77"/>
      <c r="J50" s="80"/>
      <c r="K50" s="77" t="s">
        <v>235</v>
      </c>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101</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t="s">
        <v>233</v>
      </c>
      <c r="AO50" s="114">
        <v>2</v>
      </c>
      <c r="AP50" s="25" t="s">
        <v>189</v>
      </c>
    </row>
    <row r="51" spans="1:42" ht="30" x14ac:dyDescent="0.25">
      <c r="A51" s="117">
        <v>44097</v>
      </c>
      <c r="B51" s="76"/>
      <c r="C51" s="25">
        <v>2020092310</v>
      </c>
      <c r="D51" s="25" t="s">
        <v>129</v>
      </c>
      <c r="E51" s="77">
        <v>11</v>
      </c>
      <c r="F51" s="78">
        <v>636029</v>
      </c>
      <c r="G51" s="79">
        <v>5484419</v>
      </c>
      <c r="H51" s="77" t="s">
        <v>213</v>
      </c>
      <c r="I51" s="77" t="s">
        <v>121</v>
      </c>
      <c r="J51" s="80">
        <v>1</v>
      </c>
      <c r="K51" s="77" t="s">
        <v>220</v>
      </c>
      <c r="L51" s="25" t="s">
        <v>118</v>
      </c>
      <c r="M51" s="25" t="s">
        <v>119</v>
      </c>
      <c r="N51" s="114">
        <v>1.2</v>
      </c>
      <c r="O51" s="114">
        <v>13.5</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190</v>
      </c>
    </row>
    <row r="52" spans="1:42" ht="30" x14ac:dyDescent="0.25">
      <c r="A52" s="117">
        <v>44097</v>
      </c>
      <c r="B52" s="76"/>
      <c r="C52" s="25">
        <v>4600130</v>
      </c>
      <c r="D52" s="25" t="s">
        <v>129</v>
      </c>
      <c r="E52" s="77">
        <v>11</v>
      </c>
      <c r="F52" s="78">
        <v>640037</v>
      </c>
      <c r="G52" s="79">
        <v>5483655</v>
      </c>
      <c r="H52" s="77" t="s">
        <v>103</v>
      </c>
      <c r="I52" s="77" t="s">
        <v>132</v>
      </c>
      <c r="J52" s="80"/>
      <c r="K52" s="77" t="s">
        <v>227</v>
      </c>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101</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t="s">
        <v>233</v>
      </c>
      <c r="AO52" s="114">
        <v>2</v>
      </c>
      <c r="AP52" s="25" t="s">
        <v>191</v>
      </c>
    </row>
    <row r="53" spans="1:42" ht="30" x14ac:dyDescent="0.25">
      <c r="A53" s="117">
        <v>44097</v>
      </c>
      <c r="B53" s="76"/>
      <c r="C53" s="25">
        <v>4606807</v>
      </c>
      <c r="D53" s="25" t="s">
        <v>129</v>
      </c>
      <c r="E53" s="77">
        <v>11</v>
      </c>
      <c r="F53" s="78">
        <v>639952</v>
      </c>
      <c r="G53" s="79">
        <v>5483636</v>
      </c>
      <c r="H53" s="77" t="s">
        <v>103</v>
      </c>
      <c r="I53" s="77" t="s">
        <v>126</v>
      </c>
      <c r="J53" s="80"/>
      <c r="K53" s="77" t="s">
        <v>226</v>
      </c>
      <c r="L53" s="25" t="s">
        <v>95</v>
      </c>
      <c r="M53" s="25" t="s">
        <v>133</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101</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192</v>
      </c>
    </row>
    <row r="54" spans="1:42" ht="30" x14ac:dyDescent="0.25">
      <c r="A54" s="117">
        <v>44097</v>
      </c>
      <c r="B54" s="76"/>
      <c r="C54" s="25">
        <v>4600080</v>
      </c>
      <c r="D54" s="25" t="s">
        <v>129</v>
      </c>
      <c r="E54" s="77">
        <v>11</v>
      </c>
      <c r="F54" s="78">
        <v>640568</v>
      </c>
      <c r="G54" s="79">
        <v>5481516</v>
      </c>
      <c r="H54" s="77" t="s">
        <v>103</v>
      </c>
      <c r="I54" s="77" t="s">
        <v>132</v>
      </c>
      <c r="J54" s="80"/>
      <c r="K54" s="77" t="s">
        <v>222</v>
      </c>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101</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t="s">
        <v>145</v>
      </c>
      <c r="AO54" s="114">
        <v>10</v>
      </c>
      <c r="AP54" s="25" t="s">
        <v>193</v>
      </c>
    </row>
    <row r="55" spans="1:42" x14ac:dyDescent="0.25">
      <c r="A55" s="117">
        <v>44097</v>
      </c>
      <c r="B55" s="76"/>
      <c r="C55" s="25">
        <v>4603291</v>
      </c>
      <c r="D55" s="25" t="s">
        <v>129</v>
      </c>
      <c r="E55" s="77">
        <v>11</v>
      </c>
      <c r="F55" s="78">
        <v>640891</v>
      </c>
      <c r="G55" s="79">
        <v>5480517</v>
      </c>
      <c r="H55" s="77" t="s">
        <v>219</v>
      </c>
      <c r="I55" s="77" t="s">
        <v>132</v>
      </c>
      <c r="J55" s="80"/>
      <c r="K55" s="77" t="s">
        <v>222</v>
      </c>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101</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t="s">
        <v>145</v>
      </c>
      <c r="AO55" s="114">
        <v>10</v>
      </c>
      <c r="AP55" s="25" t="s">
        <v>194</v>
      </c>
    </row>
    <row r="56" spans="1:42" ht="30" x14ac:dyDescent="0.25">
      <c r="A56" s="117">
        <v>44097</v>
      </c>
      <c r="B56" s="76"/>
      <c r="C56" s="25">
        <v>4600316</v>
      </c>
      <c r="D56" s="25" t="s">
        <v>129</v>
      </c>
      <c r="E56" s="77">
        <v>11</v>
      </c>
      <c r="F56" s="78">
        <v>641167</v>
      </c>
      <c r="G56" s="79">
        <v>5479429</v>
      </c>
      <c r="H56" s="77" t="s">
        <v>103</v>
      </c>
      <c r="I56" s="77" t="s">
        <v>132</v>
      </c>
      <c r="J56" s="80"/>
      <c r="K56" s="77" t="s">
        <v>222</v>
      </c>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101</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t="s">
        <v>145</v>
      </c>
      <c r="AO56" s="114">
        <v>10</v>
      </c>
      <c r="AP56" s="25" t="s">
        <v>195</v>
      </c>
    </row>
    <row r="57" spans="1:42" ht="30" x14ac:dyDescent="0.25">
      <c r="A57" s="117">
        <v>44097</v>
      </c>
      <c r="B57" s="76"/>
      <c r="C57" s="25">
        <v>4601594</v>
      </c>
      <c r="D57" s="25" t="s">
        <v>129</v>
      </c>
      <c r="E57" s="77">
        <v>11</v>
      </c>
      <c r="F57" s="78">
        <v>641090</v>
      </c>
      <c r="G57" s="79">
        <v>5479392</v>
      </c>
      <c r="H57" s="77" t="s">
        <v>103</v>
      </c>
      <c r="I57" s="77" t="s">
        <v>126</v>
      </c>
      <c r="J57" s="80"/>
      <c r="K57" s="77" t="s">
        <v>226</v>
      </c>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101</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t="s">
        <v>145</v>
      </c>
      <c r="AO57" s="114">
        <v>10</v>
      </c>
      <c r="AP57" s="25" t="s">
        <v>196</v>
      </c>
    </row>
    <row r="58" spans="1:42" ht="30" x14ac:dyDescent="0.25">
      <c r="A58" s="117">
        <v>44098</v>
      </c>
      <c r="B58" s="76"/>
      <c r="C58" s="25">
        <v>4600169</v>
      </c>
      <c r="D58" s="25" t="s">
        <v>129</v>
      </c>
      <c r="E58" s="77">
        <v>11</v>
      </c>
      <c r="F58" s="78">
        <v>638850</v>
      </c>
      <c r="G58" s="79">
        <v>5480833</v>
      </c>
      <c r="H58" s="77" t="s">
        <v>103</v>
      </c>
      <c r="I58" s="77" t="s">
        <v>134</v>
      </c>
      <c r="J58" s="80"/>
      <c r="K58" s="77" t="s">
        <v>222</v>
      </c>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t="s">
        <v>145</v>
      </c>
      <c r="AO58" s="114">
        <v>19</v>
      </c>
      <c r="AP58" s="25" t="s">
        <v>197</v>
      </c>
    </row>
    <row r="59" spans="1:42" ht="30" x14ac:dyDescent="0.25">
      <c r="A59" s="117">
        <v>44098</v>
      </c>
      <c r="B59" s="76"/>
      <c r="C59" s="25">
        <v>4600134</v>
      </c>
      <c r="D59" s="25" t="s">
        <v>129</v>
      </c>
      <c r="E59" s="77">
        <v>11</v>
      </c>
      <c r="F59" s="78">
        <v>638639</v>
      </c>
      <c r="G59" s="79">
        <v>5480681</v>
      </c>
      <c r="H59" s="77" t="s">
        <v>103</v>
      </c>
      <c r="I59" s="77" t="s">
        <v>135</v>
      </c>
      <c r="J59" s="80"/>
      <c r="K59" s="77" t="s">
        <v>235</v>
      </c>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101</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t="s">
        <v>233</v>
      </c>
      <c r="AO59" s="114">
        <v>2</v>
      </c>
      <c r="AP59" s="25" t="s">
        <v>198</v>
      </c>
    </row>
    <row r="60" spans="1:42" ht="30" x14ac:dyDescent="0.25">
      <c r="A60" s="117">
        <v>44098</v>
      </c>
      <c r="B60" s="76"/>
      <c r="C60" s="25">
        <v>4604455</v>
      </c>
      <c r="D60" s="25" t="s">
        <v>129</v>
      </c>
      <c r="E60" s="77">
        <v>11</v>
      </c>
      <c r="F60" s="78">
        <v>638669</v>
      </c>
      <c r="G60" s="79">
        <v>5480601</v>
      </c>
      <c r="H60" s="77" t="s">
        <v>103</v>
      </c>
      <c r="I60" s="77" t="s">
        <v>135</v>
      </c>
      <c r="J60" s="80"/>
      <c r="K60" s="77" t="s">
        <v>235</v>
      </c>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101</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t="s">
        <v>233</v>
      </c>
      <c r="AO60" s="114">
        <v>2</v>
      </c>
      <c r="AP60" s="25" t="s">
        <v>199</v>
      </c>
    </row>
    <row r="61" spans="1:42" ht="30" x14ac:dyDescent="0.25">
      <c r="A61" s="117">
        <v>44098</v>
      </c>
      <c r="B61" s="76"/>
      <c r="C61" s="25">
        <v>4601639</v>
      </c>
      <c r="D61" s="25" t="s">
        <v>129</v>
      </c>
      <c r="E61" s="77">
        <v>11</v>
      </c>
      <c r="F61" s="78">
        <v>638630</v>
      </c>
      <c r="G61" s="79">
        <v>5480655</v>
      </c>
      <c r="H61" s="77" t="s">
        <v>103</v>
      </c>
      <c r="I61" s="77" t="s">
        <v>135</v>
      </c>
      <c r="J61" s="80"/>
      <c r="K61" s="77" t="s">
        <v>235</v>
      </c>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101</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t="s">
        <v>233</v>
      </c>
      <c r="AO61" s="114">
        <v>2</v>
      </c>
      <c r="AP61" s="25" t="s">
        <v>200</v>
      </c>
    </row>
    <row r="62" spans="1:42" ht="30" x14ac:dyDescent="0.25">
      <c r="A62" s="117">
        <v>44098</v>
      </c>
      <c r="B62" s="76"/>
      <c r="C62" s="25">
        <v>4601556</v>
      </c>
      <c r="D62" s="25" t="s">
        <v>129</v>
      </c>
      <c r="E62" s="77">
        <v>11</v>
      </c>
      <c r="F62" s="78">
        <v>638522</v>
      </c>
      <c r="G62" s="79">
        <v>5480616</v>
      </c>
      <c r="H62" s="77" t="s">
        <v>103</v>
      </c>
      <c r="I62" s="77" t="s">
        <v>135</v>
      </c>
      <c r="J62" s="80"/>
      <c r="K62" s="77" t="s">
        <v>235</v>
      </c>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101</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t="s">
        <v>233</v>
      </c>
      <c r="AO62" s="114">
        <v>2</v>
      </c>
      <c r="AP62" s="25" t="s">
        <v>201</v>
      </c>
    </row>
    <row r="63" spans="1:42" ht="30" x14ac:dyDescent="0.25">
      <c r="A63" s="117">
        <v>44098</v>
      </c>
      <c r="B63" s="76"/>
      <c r="C63" s="25">
        <v>4602349</v>
      </c>
      <c r="D63" s="25" t="s">
        <v>129</v>
      </c>
      <c r="E63" s="77">
        <v>11</v>
      </c>
      <c r="F63" s="78">
        <v>638525</v>
      </c>
      <c r="G63" s="79">
        <v>5481496</v>
      </c>
      <c r="H63" s="77" t="s">
        <v>103</v>
      </c>
      <c r="I63" s="77" t="s">
        <v>136</v>
      </c>
      <c r="J63" s="80"/>
      <c r="K63" s="77" t="s">
        <v>235</v>
      </c>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t="s">
        <v>145</v>
      </c>
      <c r="AO63" s="114">
        <v>10</v>
      </c>
      <c r="AP63" s="25" t="s">
        <v>137</v>
      </c>
    </row>
    <row r="64" spans="1:42" ht="30" x14ac:dyDescent="0.25">
      <c r="A64" s="117">
        <v>44098</v>
      </c>
      <c r="B64" s="76"/>
      <c r="C64" s="25">
        <v>4600332</v>
      </c>
      <c r="D64" s="25" t="s">
        <v>92</v>
      </c>
      <c r="E64" s="77">
        <v>11</v>
      </c>
      <c r="F64" s="78">
        <v>639511</v>
      </c>
      <c r="G64" s="79">
        <v>5481114</v>
      </c>
      <c r="H64" s="77" t="s">
        <v>103</v>
      </c>
      <c r="I64" s="77" t="s">
        <v>138</v>
      </c>
      <c r="J64" s="80"/>
      <c r="K64" s="77" t="s">
        <v>223</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t="s">
        <v>145</v>
      </c>
      <c r="AO64" s="114">
        <v>10</v>
      </c>
      <c r="AP64" s="25" t="s">
        <v>202</v>
      </c>
    </row>
    <row r="65" spans="1:42" ht="30" x14ac:dyDescent="0.25">
      <c r="A65" s="117">
        <v>44098</v>
      </c>
      <c r="B65" s="76"/>
      <c r="C65" s="25">
        <v>4600026</v>
      </c>
      <c r="D65" s="25" t="s">
        <v>139</v>
      </c>
      <c r="E65" s="77">
        <v>11</v>
      </c>
      <c r="F65" s="78">
        <v>642911</v>
      </c>
      <c r="G65" s="79">
        <v>5490630</v>
      </c>
      <c r="H65" s="77" t="s">
        <v>103</v>
      </c>
      <c r="I65" s="77" t="s">
        <v>140</v>
      </c>
      <c r="J65" s="80"/>
      <c r="K65" s="77" t="s">
        <v>224</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101</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t="s">
        <v>145</v>
      </c>
      <c r="AO65" s="114">
        <v>10</v>
      </c>
      <c r="AP65" s="25" t="s">
        <v>203</v>
      </c>
    </row>
    <row r="66" spans="1:42" ht="30" x14ac:dyDescent="0.25">
      <c r="A66" s="117">
        <v>44098</v>
      </c>
      <c r="B66" s="76"/>
      <c r="C66" s="25">
        <v>4600028</v>
      </c>
      <c r="D66" s="25" t="s">
        <v>139</v>
      </c>
      <c r="E66" s="77">
        <v>11</v>
      </c>
      <c r="F66" s="78">
        <v>642559</v>
      </c>
      <c r="G66" s="79">
        <v>5490377</v>
      </c>
      <c r="H66" s="77" t="s">
        <v>141</v>
      </c>
      <c r="I66" s="77" t="s">
        <v>140</v>
      </c>
      <c r="J66" s="80"/>
      <c r="K66" s="77" t="s">
        <v>224</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111</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t="s">
        <v>145</v>
      </c>
      <c r="AO66" s="114">
        <v>10</v>
      </c>
      <c r="AP66" s="25" t="s">
        <v>142</v>
      </c>
    </row>
    <row r="67" spans="1:42" ht="30" x14ac:dyDescent="0.25">
      <c r="A67" s="117">
        <v>44098</v>
      </c>
      <c r="B67" s="76"/>
      <c r="C67" s="25">
        <v>4600157</v>
      </c>
      <c r="D67" s="25" t="s">
        <v>139</v>
      </c>
      <c r="E67" s="77">
        <v>11</v>
      </c>
      <c r="F67" s="78">
        <v>643565</v>
      </c>
      <c r="G67" s="79">
        <v>5490325</v>
      </c>
      <c r="H67" s="77" t="s">
        <v>212</v>
      </c>
      <c r="I67" s="77" t="s">
        <v>138</v>
      </c>
      <c r="J67" s="80"/>
      <c r="K67" s="77" t="s">
        <v>223</v>
      </c>
      <c r="L67" s="25" t="s">
        <v>118</v>
      </c>
      <c r="M67" s="25" t="s">
        <v>130</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143</v>
      </c>
    </row>
    <row r="68" spans="1:42" ht="30" x14ac:dyDescent="0.25">
      <c r="A68" s="117">
        <v>44098</v>
      </c>
      <c r="B68" s="76"/>
      <c r="C68" s="25">
        <v>4600158</v>
      </c>
      <c r="D68" s="25" t="s">
        <v>139</v>
      </c>
      <c r="E68" s="77">
        <v>11</v>
      </c>
      <c r="F68" s="78">
        <v>642739</v>
      </c>
      <c r="G68" s="79">
        <v>5489444</v>
      </c>
      <c r="H68" s="77" t="s">
        <v>141</v>
      </c>
      <c r="I68" s="77" t="s">
        <v>138</v>
      </c>
      <c r="J68" s="80"/>
      <c r="K68" s="77" t="s">
        <v>223</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t="s">
        <v>145</v>
      </c>
      <c r="AO68" s="114">
        <v>10</v>
      </c>
      <c r="AP68" s="25" t="s">
        <v>144</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t="s">
        <v>234</v>
      </c>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Wkna7KVof+IVMoiwVWNzD/e5hbAWB+z4M/HfaT1+vvRa2gOkrqkZL93qov4LYEVws+29falbotMT/E2tPzLK3g==" saltValue="+c78RKRK9wQt9md3nD4VkA==" spinCount="100000" sheet="1" objects="1" scenarios="1"/>
  <dataConsolidate/>
  <conditionalFormatting sqref="AO12:AO19 AO22:AO65536">
    <cfRule type="cellIs" priority="215" stopIfTrue="1" operator="lessThan">
      <formula>0</formula>
    </cfRule>
  </conditionalFormatting>
  <conditionalFormatting sqref="AF6:AF4998 AF5284:AF65536">
    <cfRule type="cellIs" dxfId="2" priority="203" stopIfTrue="1" operator="greaterThan">
      <formula>9999999999</formula>
    </cfRule>
  </conditionalFormatting>
  <conditionalFormatting sqref="AF4999:AF5283">
    <cfRule type="cellIs" dxfId="1" priority="17" stopIfTrue="1" operator="greaterThan">
      <formula>9999999999</formula>
    </cfRule>
  </conditionalFormatting>
  <conditionalFormatting sqref="AO6:AO11">
    <cfRule type="cellIs" priority="5" stopIfTrue="1" operator="lessThan">
      <formula>0</formula>
    </cfRule>
  </conditionalFormatting>
  <conditionalFormatting sqref="AO5">
    <cfRule type="cellIs" priority="4" stopIfTrue="1" operator="lessThan">
      <formula>0</formula>
    </cfRule>
  </conditionalFormatting>
  <conditionalFormatting sqref="AF5">
    <cfRule type="cellIs" dxfId="0" priority="3" stopIfTrue="1" operator="greaterThan">
      <formula>9999999999</formula>
    </cfRule>
  </conditionalFormatting>
  <conditionalFormatting sqref="AO20">
    <cfRule type="cellIs" priority="2" stopIfTrue="1" operator="lessThan">
      <formula>0</formula>
    </cfRule>
  </conditionalFormatting>
  <conditionalFormatting sqref="AO21">
    <cfRule type="cellIs" priority="1" stopIfTrue="1" operator="lessThan">
      <formula>0</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63:Q64 Q28:Q29 Q51:Q53"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44 Q36"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 type="decimal" allowBlank="1" showInputMessage="1" showErrorMessage="1" errorTitle="Invalid value entered" error="The Average Depth Embededdment you entered is invalid. The Average Depth Embededdment must be &lt;= 3.99 and &gt;= 0.01" sqref="Q67 Q24:Q25" xr:uid="{FDCB5FA8-1BA5-4A49-92D0-D5207973B866}">
      <formula1>0.01</formula1>
      <formula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row r="2" spans="1:3" ht="90" x14ac:dyDescent="0.25">
      <c r="A2" s="18" t="s">
        <v>246</v>
      </c>
      <c r="B2" s="18">
        <v>5</v>
      </c>
      <c r="C2" s="19" t="s">
        <v>248</v>
      </c>
    </row>
    <row r="3" spans="1:3" ht="90" x14ac:dyDescent="0.25">
      <c r="A3" s="18" t="s">
        <v>246</v>
      </c>
      <c r="B3" s="18">
        <v>6</v>
      </c>
      <c r="C3" s="19" t="s">
        <v>249</v>
      </c>
    </row>
    <row r="4" spans="1:3" ht="90" x14ac:dyDescent="0.25">
      <c r="A4" s="18" t="s">
        <v>246</v>
      </c>
      <c r="B4" s="18">
        <v>7</v>
      </c>
      <c r="C4" s="19" t="s">
        <v>250</v>
      </c>
    </row>
    <row r="5" spans="1:3" ht="90" x14ac:dyDescent="0.25">
      <c r="A5" s="18" t="s">
        <v>246</v>
      </c>
      <c r="B5" s="18">
        <v>8</v>
      </c>
      <c r="C5" s="19" t="s">
        <v>251</v>
      </c>
    </row>
    <row r="6" spans="1:3" ht="90" x14ac:dyDescent="0.25">
      <c r="A6" s="18" t="s">
        <v>246</v>
      </c>
      <c r="B6" s="18">
        <v>9</v>
      </c>
      <c r="C6" s="19" t="s">
        <v>252</v>
      </c>
    </row>
    <row r="7" spans="1:3" ht="90" x14ac:dyDescent="0.25">
      <c r="A7" s="18" t="s">
        <v>246</v>
      </c>
      <c r="B7" s="18">
        <v>10</v>
      </c>
      <c r="C7" s="19" t="s">
        <v>253</v>
      </c>
    </row>
    <row r="8" spans="1:3" ht="90" x14ac:dyDescent="0.25">
      <c r="A8" s="18" t="s">
        <v>246</v>
      </c>
      <c r="B8" s="18">
        <v>11</v>
      </c>
      <c r="C8" s="19" t="s">
        <v>254</v>
      </c>
    </row>
    <row r="9" spans="1:3" ht="90" x14ac:dyDescent="0.25">
      <c r="A9" s="18" t="s">
        <v>246</v>
      </c>
      <c r="B9" s="18">
        <v>12</v>
      </c>
      <c r="C9" s="19" t="s">
        <v>255</v>
      </c>
    </row>
    <row r="10" spans="1:3" ht="90" x14ac:dyDescent="0.25">
      <c r="A10" s="18" t="s">
        <v>246</v>
      </c>
      <c r="B10" s="18">
        <v>13</v>
      </c>
      <c r="C10" s="19" t="s">
        <v>256</v>
      </c>
    </row>
    <row r="11" spans="1:3" ht="90" x14ac:dyDescent="0.25">
      <c r="A11" s="18" t="s">
        <v>246</v>
      </c>
      <c r="B11" s="18">
        <v>14</v>
      </c>
      <c r="C11" s="19" t="s">
        <v>257</v>
      </c>
    </row>
    <row r="12" spans="1:3" ht="90" x14ac:dyDescent="0.25">
      <c r="A12" s="18" t="s">
        <v>246</v>
      </c>
      <c r="B12" s="18">
        <v>15</v>
      </c>
      <c r="C12" s="19" t="s">
        <v>258</v>
      </c>
    </row>
    <row r="13" spans="1:3" ht="90" x14ac:dyDescent="0.25">
      <c r="A13" s="18" t="s">
        <v>246</v>
      </c>
      <c r="B13" s="18">
        <v>16</v>
      </c>
      <c r="C13" s="19" t="s">
        <v>259</v>
      </c>
    </row>
    <row r="14" spans="1:3" ht="90" x14ac:dyDescent="0.25">
      <c r="A14" s="18" t="s">
        <v>246</v>
      </c>
      <c r="B14" s="18">
        <v>17</v>
      </c>
      <c r="C14" s="19" t="s">
        <v>260</v>
      </c>
    </row>
    <row r="15" spans="1:3" ht="90" x14ac:dyDescent="0.25">
      <c r="A15" s="18" t="s">
        <v>246</v>
      </c>
      <c r="B15" s="18">
        <v>18</v>
      </c>
      <c r="C15" s="19" t="s">
        <v>261</v>
      </c>
    </row>
    <row r="16" spans="1:3" ht="90" x14ac:dyDescent="0.25">
      <c r="A16" s="18" t="s">
        <v>246</v>
      </c>
      <c r="B16" s="18">
        <v>19</v>
      </c>
      <c r="C16" s="19" t="s">
        <v>262</v>
      </c>
    </row>
    <row r="17" spans="1:3" ht="90" x14ac:dyDescent="0.25">
      <c r="A17" s="18" t="s">
        <v>246</v>
      </c>
      <c r="B17" s="18">
        <v>20</v>
      </c>
      <c r="C17" s="19" t="s">
        <v>263</v>
      </c>
    </row>
    <row r="18" spans="1:3" ht="90" x14ac:dyDescent="0.25">
      <c r="A18" s="18" t="s">
        <v>246</v>
      </c>
      <c r="B18" s="18">
        <v>21</v>
      </c>
      <c r="C18" s="19" t="s">
        <v>264</v>
      </c>
    </row>
    <row r="19" spans="1:3" ht="90" x14ac:dyDescent="0.25">
      <c r="A19" s="18" t="s">
        <v>246</v>
      </c>
      <c r="B19" s="18">
        <v>22</v>
      </c>
      <c r="C19" s="19" t="s">
        <v>265</v>
      </c>
    </row>
    <row r="20" spans="1:3" ht="90" x14ac:dyDescent="0.25">
      <c r="A20" s="18" t="s">
        <v>246</v>
      </c>
      <c r="B20" s="18">
        <v>23</v>
      </c>
      <c r="C20" s="19" t="s">
        <v>266</v>
      </c>
    </row>
    <row r="21" spans="1:3" ht="90" x14ac:dyDescent="0.25">
      <c r="A21" s="18" t="s">
        <v>246</v>
      </c>
      <c r="B21" s="18">
        <v>24</v>
      </c>
      <c r="C21" s="19" t="s">
        <v>267</v>
      </c>
    </row>
    <row r="22" spans="1:3" ht="90" x14ac:dyDescent="0.25">
      <c r="A22" s="18" t="s">
        <v>246</v>
      </c>
      <c r="B22" s="18">
        <v>25</v>
      </c>
      <c r="C22" s="19" t="s">
        <v>268</v>
      </c>
    </row>
    <row r="23" spans="1:3" ht="90" x14ac:dyDescent="0.25">
      <c r="A23" s="18" t="s">
        <v>246</v>
      </c>
      <c r="B23" s="18">
        <v>26</v>
      </c>
      <c r="C23" s="19" t="s">
        <v>269</v>
      </c>
    </row>
    <row r="24" spans="1:3" ht="90" x14ac:dyDescent="0.25">
      <c r="A24" s="18" t="s">
        <v>246</v>
      </c>
      <c r="B24" s="18">
        <v>27</v>
      </c>
      <c r="C24" s="19" t="s">
        <v>270</v>
      </c>
    </row>
    <row r="25" spans="1:3" ht="90" x14ac:dyDescent="0.25">
      <c r="A25" s="18" t="s">
        <v>246</v>
      </c>
      <c r="B25" s="18">
        <v>28</v>
      </c>
      <c r="C25" s="19" t="s">
        <v>271</v>
      </c>
    </row>
    <row r="26" spans="1:3" ht="90" x14ac:dyDescent="0.25">
      <c r="A26" s="18" t="s">
        <v>246</v>
      </c>
      <c r="B26" s="18">
        <v>29</v>
      </c>
      <c r="C26" s="19" t="s">
        <v>272</v>
      </c>
    </row>
    <row r="27" spans="1:3" ht="90" x14ac:dyDescent="0.25">
      <c r="A27" s="18" t="s">
        <v>246</v>
      </c>
      <c r="B27" s="18">
        <v>30</v>
      </c>
      <c r="C27" s="19" t="s">
        <v>273</v>
      </c>
    </row>
    <row r="28" spans="1:3" ht="90" x14ac:dyDescent="0.25">
      <c r="A28" s="18" t="s">
        <v>246</v>
      </c>
      <c r="B28" s="18">
        <v>31</v>
      </c>
      <c r="C28" s="19" t="s">
        <v>274</v>
      </c>
    </row>
    <row r="29" spans="1:3" ht="90" x14ac:dyDescent="0.25">
      <c r="A29" s="18" t="s">
        <v>246</v>
      </c>
      <c r="B29" s="18">
        <v>32</v>
      </c>
      <c r="C29" s="19" t="s">
        <v>275</v>
      </c>
    </row>
    <row r="30" spans="1:3" ht="90" x14ac:dyDescent="0.25">
      <c r="A30" s="18" t="s">
        <v>246</v>
      </c>
      <c r="B30" s="18">
        <v>33</v>
      </c>
      <c r="C30" s="19" t="s">
        <v>276</v>
      </c>
    </row>
    <row r="31" spans="1:3" ht="90" x14ac:dyDescent="0.25">
      <c r="A31" s="18" t="s">
        <v>246</v>
      </c>
      <c r="B31" s="18">
        <v>34</v>
      </c>
      <c r="C31" s="19" t="s">
        <v>277</v>
      </c>
    </row>
    <row r="32" spans="1:3" ht="90" x14ac:dyDescent="0.25">
      <c r="A32" s="18" t="s">
        <v>246</v>
      </c>
      <c r="B32" s="18">
        <v>35</v>
      </c>
      <c r="C32" s="19" t="s">
        <v>278</v>
      </c>
    </row>
    <row r="33" spans="1:3" ht="90" x14ac:dyDescent="0.25">
      <c r="A33" s="18" t="s">
        <v>246</v>
      </c>
      <c r="B33" s="18">
        <v>36</v>
      </c>
      <c r="C33" s="19" t="s">
        <v>279</v>
      </c>
    </row>
    <row r="34" spans="1:3" ht="90" x14ac:dyDescent="0.25">
      <c r="A34" s="18" t="s">
        <v>246</v>
      </c>
      <c r="B34" s="18">
        <v>37</v>
      </c>
      <c r="C34" s="19" t="s">
        <v>280</v>
      </c>
    </row>
    <row r="35" spans="1:3" ht="90" x14ac:dyDescent="0.25">
      <c r="A35" s="18" t="s">
        <v>246</v>
      </c>
      <c r="B35" s="18">
        <v>38</v>
      </c>
      <c r="C35" s="19" t="s">
        <v>281</v>
      </c>
    </row>
    <row r="36" spans="1:3" ht="90" x14ac:dyDescent="0.25">
      <c r="A36" s="18" t="s">
        <v>246</v>
      </c>
      <c r="B36" s="18">
        <v>39</v>
      </c>
      <c r="C36" s="19" t="s">
        <v>282</v>
      </c>
    </row>
    <row r="37" spans="1:3" ht="90" x14ac:dyDescent="0.25">
      <c r="A37" s="18" t="s">
        <v>246</v>
      </c>
      <c r="B37" s="18">
        <v>40</v>
      </c>
      <c r="C37" s="19" t="s">
        <v>283</v>
      </c>
    </row>
    <row r="38" spans="1:3" ht="90" x14ac:dyDescent="0.25">
      <c r="A38" s="18" t="s">
        <v>246</v>
      </c>
      <c r="B38" s="18">
        <v>41</v>
      </c>
      <c r="C38" s="19" t="s">
        <v>284</v>
      </c>
    </row>
    <row r="39" spans="1:3" ht="90" x14ac:dyDescent="0.25">
      <c r="A39" s="18" t="s">
        <v>246</v>
      </c>
      <c r="B39" s="18">
        <v>42</v>
      </c>
      <c r="C39" s="19" t="s">
        <v>285</v>
      </c>
    </row>
    <row r="40" spans="1:3" ht="90" x14ac:dyDescent="0.25">
      <c r="A40" s="18" t="s">
        <v>246</v>
      </c>
      <c r="B40" s="18">
        <v>43</v>
      </c>
      <c r="C40" s="19" t="s">
        <v>286</v>
      </c>
    </row>
    <row r="41" spans="1:3" ht="90" x14ac:dyDescent="0.25">
      <c r="A41" s="18" t="s">
        <v>246</v>
      </c>
      <c r="B41" s="18">
        <v>44</v>
      </c>
      <c r="C41" s="19" t="s">
        <v>287</v>
      </c>
    </row>
    <row r="42" spans="1:3" ht="90" x14ac:dyDescent="0.25">
      <c r="A42" s="18" t="s">
        <v>246</v>
      </c>
      <c r="B42" s="18">
        <v>45</v>
      </c>
      <c r="C42" s="19" t="s">
        <v>288</v>
      </c>
    </row>
    <row r="43" spans="1:3" ht="90" x14ac:dyDescent="0.25">
      <c r="A43" s="18" t="s">
        <v>246</v>
      </c>
      <c r="B43" s="18">
        <v>46</v>
      </c>
      <c r="C43" s="19" t="s">
        <v>289</v>
      </c>
    </row>
    <row r="44" spans="1:3" ht="90" x14ac:dyDescent="0.25">
      <c r="A44" s="18" t="s">
        <v>246</v>
      </c>
      <c r="B44" s="18">
        <v>47</v>
      </c>
      <c r="C44" s="19" t="s">
        <v>290</v>
      </c>
    </row>
    <row r="45" spans="1:3" ht="90" x14ac:dyDescent="0.25">
      <c r="A45" s="18" t="s">
        <v>246</v>
      </c>
      <c r="B45" s="18">
        <v>48</v>
      </c>
      <c r="C45" s="19" t="s">
        <v>291</v>
      </c>
    </row>
    <row r="46" spans="1:3" ht="90" x14ac:dyDescent="0.25">
      <c r="A46" s="18" t="s">
        <v>246</v>
      </c>
      <c r="B46" s="18">
        <v>49</v>
      </c>
      <c r="C46" s="19" t="s">
        <v>292</v>
      </c>
    </row>
    <row r="47" spans="1:3" ht="90" x14ac:dyDescent="0.25">
      <c r="A47" s="18" t="s">
        <v>246</v>
      </c>
      <c r="B47" s="18">
        <v>50</v>
      </c>
      <c r="C47" s="19" t="s">
        <v>293</v>
      </c>
    </row>
    <row r="48" spans="1:3" ht="90" x14ac:dyDescent="0.25">
      <c r="A48" s="18" t="s">
        <v>246</v>
      </c>
      <c r="B48" s="18">
        <v>51</v>
      </c>
      <c r="C48" s="19" t="s">
        <v>294</v>
      </c>
    </row>
    <row r="49" spans="1:3" ht="90" x14ac:dyDescent="0.25">
      <c r="A49" s="18" t="s">
        <v>246</v>
      </c>
      <c r="B49" s="18">
        <v>52</v>
      </c>
      <c r="C49" s="19" t="s">
        <v>295</v>
      </c>
    </row>
    <row r="50" spans="1:3" ht="90" x14ac:dyDescent="0.25">
      <c r="A50" s="18" t="s">
        <v>246</v>
      </c>
      <c r="B50" s="18">
        <v>53</v>
      </c>
      <c r="C50" s="19" t="s">
        <v>296</v>
      </c>
    </row>
    <row r="51" spans="1:3" ht="90" x14ac:dyDescent="0.25">
      <c r="A51" s="18" t="s">
        <v>246</v>
      </c>
      <c r="B51" s="18">
        <v>54</v>
      </c>
      <c r="C51" s="19" t="s">
        <v>297</v>
      </c>
    </row>
    <row r="52" spans="1:3" ht="90" x14ac:dyDescent="0.25">
      <c r="A52" s="18" t="s">
        <v>246</v>
      </c>
      <c r="B52" s="18">
        <v>55</v>
      </c>
      <c r="C52" s="19" t="s">
        <v>298</v>
      </c>
    </row>
    <row r="53" spans="1:3" ht="90" x14ac:dyDescent="0.25">
      <c r="A53" s="18" t="s">
        <v>246</v>
      </c>
      <c r="B53" s="18">
        <v>56</v>
      </c>
      <c r="C53" s="19" t="s">
        <v>299</v>
      </c>
    </row>
    <row r="54" spans="1:3" ht="90" x14ac:dyDescent="0.25">
      <c r="A54" s="18" t="s">
        <v>246</v>
      </c>
      <c r="B54" s="18">
        <v>57</v>
      </c>
      <c r="C54" s="19" t="s">
        <v>300</v>
      </c>
    </row>
    <row r="55" spans="1:3" ht="90" x14ac:dyDescent="0.25">
      <c r="A55" s="18" t="s">
        <v>246</v>
      </c>
      <c r="B55" s="18">
        <v>58</v>
      </c>
      <c r="C55" s="19" t="s">
        <v>301</v>
      </c>
    </row>
    <row r="56" spans="1:3" ht="90" x14ac:dyDescent="0.25">
      <c r="A56" s="18" t="s">
        <v>246</v>
      </c>
      <c r="B56" s="18">
        <v>59</v>
      </c>
      <c r="C56" s="19" t="s">
        <v>302</v>
      </c>
    </row>
    <row r="57" spans="1:3" ht="90" x14ac:dyDescent="0.25">
      <c r="A57" s="18" t="s">
        <v>246</v>
      </c>
      <c r="B57" s="18">
        <v>60</v>
      </c>
      <c r="C57" s="19" t="s">
        <v>303</v>
      </c>
    </row>
    <row r="58" spans="1:3" ht="90" x14ac:dyDescent="0.25">
      <c r="A58" s="18" t="s">
        <v>246</v>
      </c>
      <c r="B58" s="18">
        <v>61</v>
      </c>
      <c r="C58" s="19" t="s">
        <v>304</v>
      </c>
    </row>
    <row r="59" spans="1:3" ht="90" x14ac:dyDescent="0.25">
      <c r="A59" s="18" t="s">
        <v>246</v>
      </c>
      <c r="B59" s="18">
        <v>62</v>
      </c>
      <c r="C59" s="19" t="s">
        <v>305</v>
      </c>
    </row>
    <row r="60" spans="1:3" ht="90" x14ac:dyDescent="0.25">
      <c r="A60" s="18" t="s">
        <v>246</v>
      </c>
      <c r="B60" s="18">
        <v>63</v>
      </c>
      <c r="C60" s="19" t="s">
        <v>306</v>
      </c>
    </row>
    <row r="61" spans="1:3" ht="90" x14ac:dyDescent="0.25">
      <c r="A61" s="18" t="s">
        <v>246</v>
      </c>
      <c r="B61" s="18">
        <v>64</v>
      </c>
      <c r="C61" s="19" t="s">
        <v>307</v>
      </c>
    </row>
    <row r="62" spans="1:3" ht="90" x14ac:dyDescent="0.25">
      <c r="A62" s="18" t="s">
        <v>246</v>
      </c>
      <c r="B62" s="18">
        <v>65</v>
      </c>
      <c r="C62" s="19" t="s">
        <v>308</v>
      </c>
    </row>
    <row r="63" spans="1:3" ht="90" x14ac:dyDescent="0.25">
      <c r="A63" s="18" t="s">
        <v>246</v>
      </c>
      <c r="B63" s="18">
        <v>66</v>
      </c>
      <c r="C63" s="19" t="s">
        <v>309</v>
      </c>
    </row>
    <row r="64" spans="1:3" ht="90" x14ac:dyDescent="0.25">
      <c r="A64" s="18" t="s">
        <v>246</v>
      </c>
      <c r="B64" s="18">
        <v>67</v>
      </c>
      <c r="C64" s="19" t="s">
        <v>310</v>
      </c>
    </row>
    <row r="65" spans="1:3" ht="90" x14ac:dyDescent="0.25">
      <c r="A65" s="18" t="s">
        <v>246</v>
      </c>
      <c r="B65" s="18">
        <v>68</v>
      </c>
      <c r="C65" s="19" t="s">
        <v>311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2020-11-26T22:15:55Z</dcterms:modified>
</cp:coreProperties>
</file>