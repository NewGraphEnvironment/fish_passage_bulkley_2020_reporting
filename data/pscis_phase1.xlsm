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fish_passage_bulkley_2020_reporting\data\"/>
    </mc:Choice>
  </mc:AlternateContent>
  <xr:revisionPtr revIDLastSave="0" documentId="13_ncr:1_{9309AF87-6F40-4FF7-8DBB-C282A2DF2571}" xr6:coauthVersionLast="46" xr6:coauthVersionMax="46" xr10:uidLastSave="{00000000-0000-0000-0000-000000000000}"/>
  <bookViews>
    <workbookView xWindow="-2892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26" i="2"/>
  <c r="AM25"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L5131" i="2" s="1"/>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L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L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L28" i="2" s="1"/>
  <c r="AM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L34" i="2" s="1"/>
  <c r="AM34" i="2" s="1"/>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L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L168" i="2" s="1"/>
  <c r="AH168" i="2"/>
  <c r="AI168" i="2"/>
  <c r="AJ168" i="2"/>
  <c r="AF169" i="2"/>
  <c r="AK169" i="2"/>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L292" i="2" s="1"/>
  <c r="AI292" i="2"/>
  <c r="AJ292" i="2"/>
  <c r="AF293" i="2"/>
  <c r="AK293" i="2" s="1"/>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L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L983" i="2"/>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J998" i="2"/>
  <c r="AF999" i="2"/>
  <c r="AK999" i="2"/>
  <c r="AG999" i="2"/>
  <c r="AH999" i="2"/>
  <c r="AI999" i="2"/>
  <c r="AJ999" i="2"/>
  <c r="AF1000" i="2"/>
  <c r="AK1000" i="2" s="1"/>
  <c r="AG1000" i="2"/>
  <c r="AH1000" i="2"/>
  <c r="AI1000" i="2"/>
  <c r="AJ1000" i="2"/>
  <c r="AF1001" i="2"/>
  <c r="AK1001" i="2"/>
  <c r="AG1001" i="2"/>
  <c r="AH1001" i="2"/>
  <c r="AI1001" i="2"/>
  <c r="AJ1001" i="2"/>
  <c r="AL1001" i="2" s="1"/>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L1088" i="2" s="1"/>
  <c r="AG1088" i="2"/>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c r="AG1110" i="2"/>
  <c r="AH1110" i="2"/>
  <c r="AI1110" i="2"/>
  <c r="AJ1110" i="2"/>
  <c r="AF1111" i="2"/>
  <c r="AK1111" i="2" s="1"/>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L1135" i="2" s="1"/>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L1183" i="2" s="1"/>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L1249" i="2" s="1"/>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L1509" i="2" s="1"/>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L1588" i="2" s="1"/>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L1776" i="2" s="1"/>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L1818" i="2" s="1"/>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L1883" i="2" s="1"/>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c r="AG2006" i="2"/>
  <c r="AH2006" i="2"/>
  <c r="AI2006" i="2"/>
  <c r="AJ2006" i="2"/>
  <c r="AL2006" i="2" s="1"/>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L2015" i="2" s="1"/>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L2029" i="2" s="1"/>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L2314" i="2" s="1"/>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L2334" i="2" s="1"/>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L2353" i="2" s="1"/>
  <c r="AJ2353" i="2"/>
  <c r="AF2354" i="2"/>
  <c r="AK2354" i="2"/>
  <c r="AG2354" i="2"/>
  <c r="AH2354" i="2"/>
  <c r="AI2354" i="2"/>
  <c r="AJ2354" i="2"/>
  <c r="AF2355" i="2"/>
  <c r="AK2355" i="2"/>
  <c r="AG2355" i="2"/>
  <c r="AH2355" i="2"/>
  <c r="AL2355" i="2" s="1"/>
  <c r="AI2355" i="2"/>
  <c r="AJ2355" i="2"/>
  <c r="AF2356" i="2"/>
  <c r="AK2356" i="2" s="1"/>
  <c r="AG2356" i="2"/>
  <c r="AH2356" i="2"/>
  <c r="AI2356" i="2"/>
  <c r="AJ2356" i="2"/>
  <c r="AF2357" i="2"/>
  <c r="AK2357" i="2" s="1"/>
  <c r="AL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c r="AG2365" i="2"/>
  <c r="AH2365" i="2"/>
  <c r="AI2365" i="2"/>
  <c r="AJ2365" i="2"/>
  <c r="AF2366" i="2"/>
  <c r="AK2366" i="2" s="1"/>
  <c r="AG2366" i="2"/>
  <c r="AL2366" i="2" s="1"/>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L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L2414" i="2" s="1"/>
  <c r="AG2414" i="2"/>
  <c r="AH2414" i="2"/>
  <c r="AI2414" i="2"/>
  <c r="AJ2414" i="2"/>
  <c r="AF2415" i="2"/>
  <c r="AK2415" i="2" s="1"/>
  <c r="AG2415" i="2"/>
  <c r="AH2415" i="2"/>
  <c r="AI2415" i="2"/>
  <c r="AJ2415" i="2"/>
  <c r="AF2416" i="2"/>
  <c r="AK2416" i="2"/>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s="1"/>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L2438" i="2" s="1"/>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s="1"/>
  <c r="AG2447" i="2"/>
  <c r="AH2447" i="2"/>
  <c r="AI2447" i="2"/>
  <c r="AJ2447" i="2"/>
  <c r="AF2448" i="2"/>
  <c r="AK2448" i="2"/>
  <c r="AL2448" i="2" s="1"/>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L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L2473" i="2" s="1"/>
  <c r="AF2474" i="2"/>
  <c r="AK2474" i="2"/>
  <c r="AG2474" i="2"/>
  <c r="AH2474" i="2"/>
  <c r="AI2474" i="2"/>
  <c r="AJ2474" i="2"/>
  <c r="AF2475" i="2"/>
  <c r="AK2475" i="2" s="1"/>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c r="AG2479" i="2"/>
  <c r="AH2479" i="2"/>
  <c r="AL2479" i="2" s="1"/>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L2530" i="2"/>
  <c r="AG2530" i="2"/>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L2542" i="2" s="1"/>
  <c r="AG2542" i="2"/>
  <c r="AH2542" i="2"/>
  <c r="AI2542" i="2"/>
  <c r="AJ2542" i="2"/>
  <c r="AF2543" i="2"/>
  <c r="AK2543" i="2" s="1"/>
  <c r="AG2543" i="2"/>
  <c r="AH2543" i="2"/>
  <c r="AI2543" i="2"/>
  <c r="AJ2543" i="2"/>
  <c r="AF2544" i="2"/>
  <c r="AK2544" i="2" s="1"/>
  <c r="AG2544" i="2"/>
  <c r="AH2544" i="2"/>
  <c r="AI2544" i="2"/>
  <c r="AJ2544" i="2"/>
  <c r="AF2545" i="2"/>
  <c r="AK2545" i="2" s="1"/>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L2568" i="2" s="1"/>
  <c r="AG2568" i="2"/>
  <c r="AH2568" i="2"/>
  <c r="AI2568" i="2"/>
  <c r="AJ2568" i="2"/>
  <c r="AF2569" i="2"/>
  <c r="AK2569" i="2"/>
  <c r="AG2569" i="2"/>
  <c r="AH2569" i="2"/>
  <c r="AI2569" i="2"/>
  <c r="AJ2569" i="2"/>
  <c r="AF2570" i="2"/>
  <c r="AK2570" i="2"/>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L2605" i="2" s="1"/>
  <c r="AH2605" i="2"/>
  <c r="AI2605" i="2"/>
  <c r="AJ2605" i="2"/>
  <c r="AF2606" i="2"/>
  <c r="AK2606" i="2" s="1"/>
  <c r="AG2606" i="2"/>
  <c r="AH2606" i="2"/>
  <c r="AI2606" i="2"/>
  <c r="AJ2606" i="2"/>
  <c r="AF2607" i="2"/>
  <c r="AK2607" i="2" s="1"/>
  <c r="AG2607" i="2"/>
  <c r="AH2607" i="2"/>
  <c r="AI2607" i="2"/>
  <c r="AJ2607" i="2"/>
  <c r="AF2608" i="2"/>
  <c r="AK2608" i="2" s="1"/>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L2622" i="2" s="1"/>
  <c r="AG2622" i="2"/>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s="1"/>
  <c r="AG2674" i="2"/>
  <c r="AH2674" i="2"/>
  <c r="AI2674" i="2"/>
  <c r="AL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s="1"/>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L2722" i="2" s="1"/>
  <c r="AG2722" i="2"/>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L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L2759" i="2"/>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L2772" i="2" s="1"/>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L2783" i="2" s="1"/>
  <c r="AG2783" i="2"/>
  <c r="AH2783" i="2"/>
  <c r="AI2783" i="2"/>
  <c r="AJ2783" i="2"/>
  <c r="AF2784" i="2"/>
  <c r="AK2784" i="2" s="1"/>
  <c r="AG2784" i="2"/>
  <c r="AH2784" i="2"/>
  <c r="AI2784" i="2"/>
  <c r="AJ2784" i="2"/>
  <c r="AF2785" i="2"/>
  <c r="AK2785" i="2"/>
  <c r="AG2785" i="2"/>
  <c r="AL2785" i="2" s="1"/>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L2794" i="2" s="1"/>
  <c r="AG2794" i="2"/>
  <c r="AH2794" i="2"/>
  <c r="AI2794" i="2"/>
  <c r="AJ2794" i="2"/>
  <c r="AF2795" i="2"/>
  <c r="AK2795" i="2"/>
  <c r="AG2795" i="2"/>
  <c r="AH2795" i="2"/>
  <c r="AI2795" i="2"/>
  <c r="AJ2795" i="2"/>
  <c r="AF2796" i="2"/>
  <c r="AK2796" i="2" s="1"/>
  <c r="AG2796" i="2"/>
  <c r="AL2796" i="2" s="1"/>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s="1"/>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L2831" i="2" s="1"/>
  <c r="AG2831" i="2"/>
  <c r="AH2831" i="2"/>
  <c r="AI2831" i="2"/>
  <c r="AJ2831" i="2"/>
  <c r="AF2832" i="2"/>
  <c r="AK2832" i="2" s="1"/>
  <c r="AG2832" i="2"/>
  <c r="AH2832" i="2"/>
  <c r="AI2832" i="2"/>
  <c r="AJ2832" i="2"/>
  <c r="AF2833" i="2"/>
  <c r="AK2833" i="2" s="1"/>
  <c r="AG2833" i="2"/>
  <c r="AH2833" i="2"/>
  <c r="AL2833" i="2" s="1"/>
  <c r="AI2833" i="2"/>
  <c r="AJ2833" i="2"/>
  <c r="AF2834" i="2"/>
  <c r="AK2834" i="2" s="1"/>
  <c r="AG2834" i="2"/>
  <c r="AH2834" i="2"/>
  <c r="AI2834" i="2"/>
  <c r="AJ2834" i="2"/>
  <c r="AF2835" i="2"/>
  <c r="AK2835" i="2" s="1"/>
  <c r="AL2835" i="2" s="1"/>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L2851" i="2" s="1"/>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L2921" i="2" s="1"/>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L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L3138" i="2" s="1"/>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L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L3164" i="2" s="1"/>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L3169" i="2" s="1"/>
  <c r="AJ3169" i="2"/>
  <c r="AF3170" i="2"/>
  <c r="AK3170" i="2" s="1"/>
  <c r="AG3170" i="2"/>
  <c r="AH3170" i="2"/>
  <c r="AI3170" i="2"/>
  <c r="AJ3170" i="2"/>
  <c r="AF3171" i="2"/>
  <c r="AK3171" i="2" s="1"/>
  <c r="AG3171" i="2"/>
  <c r="AH3171" i="2"/>
  <c r="AI3171" i="2"/>
  <c r="AJ3171" i="2"/>
  <c r="AF3172" i="2"/>
  <c r="AK3172" i="2" s="1"/>
  <c r="AL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L3176" i="2" s="1"/>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L3188" i="2" s="1"/>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L3193" i="2" s="1"/>
  <c r="AJ3193" i="2"/>
  <c r="AF3194" i="2"/>
  <c r="AK3194" i="2" s="1"/>
  <c r="AG3194" i="2"/>
  <c r="AH3194" i="2"/>
  <c r="AI3194" i="2"/>
  <c r="AJ3194" i="2"/>
  <c r="AF3195" i="2"/>
  <c r="AK3195" i="2" s="1"/>
  <c r="AG3195" i="2"/>
  <c r="AH3195" i="2"/>
  <c r="AI3195" i="2"/>
  <c r="AJ3195" i="2"/>
  <c r="AF3196" i="2"/>
  <c r="AK3196" i="2" s="1"/>
  <c r="AL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L3200" i="2" s="1"/>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L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c r="AG3213" i="2"/>
  <c r="AH3213" i="2"/>
  <c r="AI3213" i="2"/>
  <c r="AJ3213" i="2"/>
  <c r="AF3214" i="2"/>
  <c r="AK3214" i="2"/>
  <c r="AG3214" i="2"/>
  <c r="AH3214" i="2"/>
  <c r="AI3214" i="2"/>
  <c r="AJ3214" i="2"/>
  <c r="AL3214" i="2" s="1"/>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L3218" i="2" s="1"/>
  <c r="AF3219" i="2"/>
  <c r="AK3219" i="2"/>
  <c r="AG3219" i="2"/>
  <c r="AH3219" i="2"/>
  <c r="AI3219" i="2"/>
  <c r="AJ3219" i="2"/>
  <c r="AF3220" i="2"/>
  <c r="AK3220" i="2"/>
  <c r="AG3220" i="2"/>
  <c r="AH3220" i="2"/>
  <c r="AI3220" i="2"/>
  <c r="AJ3220" i="2"/>
  <c r="AL3220" i="2" s="1"/>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L3234" i="2" s="1"/>
  <c r="AG3234" i="2"/>
  <c r="AH3234" i="2"/>
  <c r="AI3234" i="2"/>
  <c r="AJ3234" i="2"/>
  <c r="AF3235" i="2"/>
  <c r="AK3235" i="2"/>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L3253" i="2" s="1"/>
  <c r="AG3253" i="2"/>
  <c r="AH3253" i="2"/>
  <c r="AI3253" i="2"/>
  <c r="AJ3253" i="2"/>
  <c r="AF3254" i="2"/>
  <c r="AK3254" i="2"/>
  <c r="AG3254" i="2"/>
  <c r="AH3254" i="2"/>
  <c r="AI3254" i="2"/>
  <c r="AJ3254" i="2"/>
  <c r="AL3254" i="2" s="1"/>
  <c r="AF3255" i="2"/>
  <c r="AK3255" i="2"/>
  <c r="AG3255" i="2"/>
  <c r="AH3255" i="2"/>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L3272" i="2" s="1"/>
  <c r="AG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H3284" i="2"/>
  <c r="AL3284" i="2" s="1"/>
  <c r="AI3284" i="2"/>
  <c r="AJ3284" i="2"/>
  <c r="AF3285" i="2"/>
  <c r="AK3285" i="2" s="1"/>
  <c r="AG3285" i="2"/>
  <c r="AL3285" i="2" s="1"/>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L3289" i="2" s="1"/>
  <c r="AG3289" i="2"/>
  <c r="AH3289" i="2"/>
  <c r="AI3289" i="2"/>
  <c r="AJ3289" i="2"/>
  <c r="AF3290" i="2"/>
  <c r="AK3290" i="2"/>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L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H3300" i="2"/>
  <c r="AL3300" i="2" s="1"/>
  <c r="AI3300" i="2"/>
  <c r="AJ3300" i="2"/>
  <c r="AF3301" i="2"/>
  <c r="AK3301" i="2"/>
  <c r="AG3301" i="2"/>
  <c r="AH3301" i="2"/>
  <c r="AI3301" i="2"/>
  <c r="AJ3301" i="2"/>
  <c r="AF3302" i="2"/>
  <c r="AK3302" i="2" s="1"/>
  <c r="AG3302" i="2"/>
  <c r="AH3302" i="2"/>
  <c r="AI3302" i="2"/>
  <c r="AL3302" i="2" s="1"/>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c r="AH3306" i="2"/>
  <c r="AI3306" i="2"/>
  <c r="AJ3306" i="2"/>
  <c r="AF3307" i="2"/>
  <c r="AK3307" i="2"/>
  <c r="AG3307" i="2"/>
  <c r="AH3307" i="2"/>
  <c r="AL3307" i="2" s="1"/>
  <c r="AI3307" i="2"/>
  <c r="AJ3307" i="2"/>
  <c r="AF3308" i="2"/>
  <c r="AK3308" i="2"/>
  <c r="AL3308" i="2" s="1"/>
  <c r="AG3308" i="2"/>
  <c r="AH3308" i="2"/>
  <c r="AI3308" i="2"/>
  <c r="AJ3308" i="2"/>
  <c r="AF3309" i="2"/>
  <c r="AK3309" i="2"/>
  <c r="AG3309" i="2"/>
  <c r="AL3309" i="2" s="1"/>
  <c r="AH3309" i="2"/>
  <c r="AI3309" i="2"/>
  <c r="AJ3309" i="2"/>
  <c r="AF3310" i="2"/>
  <c r="AK3310" i="2" s="1"/>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L3316" i="2" s="1"/>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L3327" i="2" s="1"/>
  <c r="AF3328" i="2"/>
  <c r="AK3328" i="2"/>
  <c r="AG3328" i="2"/>
  <c r="AH3328" i="2"/>
  <c r="AL3328" i="2" s="1"/>
  <c r="AI3328" i="2"/>
  <c r="AJ3328" i="2"/>
  <c r="AF3329" i="2"/>
  <c r="AK3329" i="2"/>
  <c r="AG3329" i="2"/>
  <c r="AH3329" i="2"/>
  <c r="AI3329" i="2"/>
  <c r="AJ3329" i="2"/>
  <c r="AF3330" i="2"/>
  <c r="AK3330" i="2" s="1"/>
  <c r="AL3330" i="2"/>
  <c r="AG3330" i="2"/>
  <c r="AH3330" i="2"/>
  <c r="AI3330" i="2"/>
  <c r="AJ3330" i="2"/>
  <c r="AF3331" i="2"/>
  <c r="AK3331" i="2" s="1"/>
  <c r="AG3331" i="2"/>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c r="AG3340" i="2"/>
  <c r="AH3340" i="2"/>
  <c r="AI3340" i="2"/>
  <c r="AJ3340" i="2"/>
  <c r="AF3341" i="2"/>
  <c r="AK3341" i="2" s="1"/>
  <c r="AL3341" i="2" s="1"/>
  <c r="AG3341" i="2"/>
  <c r="AH3341" i="2"/>
  <c r="AI3341" i="2"/>
  <c r="AJ3341" i="2"/>
  <c r="AF3342" i="2"/>
  <c r="AK3342" i="2"/>
  <c r="AG3342" i="2"/>
  <c r="AH3342" i="2"/>
  <c r="AI3342" i="2"/>
  <c r="AJ3342" i="2"/>
  <c r="AF3343" i="2"/>
  <c r="AK3343" i="2" s="1"/>
  <c r="AG3343" i="2"/>
  <c r="AH3343" i="2"/>
  <c r="AI3343" i="2"/>
  <c r="AJ3343" i="2"/>
  <c r="AF3344" i="2"/>
  <c r="AK3344" i="2"/>
  <c r="AL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s="1"/>
  <c r="AH3360" i="2"/>
  <c r="AI3360" i="2"/>
  <c r="AJ3360" i="2"/>
  <c r="AF3361" i="2"/>
  <c r="AK3361" i="2" s="1"/>
  <c r="AG3361" i="2"/>
  <c r="AH3361" i="2"/>
  <c r="AI3361" i="2"/>
  <c r="AJ3361" i="2"/>
  <c r="AF3362" i="2"/>
  <c r="AK3362" i="2" s="1"/>
  <c r="AG3362" i="2"/>
  <c r="AH3362" i="2"/>
  <c r="AI3362" i="2"/>
  <c r="AJ3362" i="2"/>
  <c r="AF3363" i="2"/>
  <c r="AK3363" i="2" s="1"/>
  <c r="AG3363" i="2"/>
  <c r="AH3363" i="2"/>
  <c r="AI3363" i="2"/>
  <c r="AL3363" i="2" s="1"/>
  <c r="AJ3363" i="2"/>
  <c r="AF3364" i="2"/>
  <c r="AK3364" i="2" s="1"/>
  <c r="AG3364" i="2"/>
  <c r="AH3364" i="2"/>
  <c r="AI3364" i="2"/>
  <c r="AJ3364" i="2"/>
  <c r="AF3365" i="2"/>
  <c r="AK3365" i="2"/>
  <c r="AG3365" i="2"/>
  <c r="AH3365" i="2"/>
  <c r="AI3365" i="2"/>
  <c r="AJ3365" i="2"/>
  <c r="AF3366" i="2"/>
  <c r="AK3366" i="2" s="1"/>
  <c r="AG3366" i="2"/>
  <c r="AH3366" i="2"/>
  <c r="AI3366" i="2"/>
  <c r="AJ3366" i="2"/>
  <c r="AL3366" i="2" s="1"/>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L3375" i="2" s="1"/>
  <c r="AI3375" i="2"/>
  <c r="AJ3375" i="2"/>
  <c r="AF3376" i="2"/>
  <c r="AK3376" i="2" s="1"/>
  <c r="AG3376" i="2"/>
  <c r="AH3376" i="2"/>
  <c r="AI3376" i="2"/>
  <c r="AJ3376" i="2"/>
  <c r="AF3377" i="2"/>
  <c r="AK3377" i="2"/>
  <c r="AG3377" i="2"/>
  <c r="AH3377" i="2"/>
  <c r="AI3377" i="2"/>
  <c r="AJ3377" i="2"/>
  <c r="AF3378" i="2"/>
  <c r="AK3378" i="2" s="1"/>
  <c r="AG3378" i="2"/>
  <c r="AL3378" i="2" s="1"/>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L3382" i="2" s="1"/>
  <c r="AI3382" i="2"/>
  <c r="AJ3382" i="2"/>
  <c r="AF3383" i="2"/>
  <c r="AK3383" i="2"/>
  <c r="AG3383" i="2"/>
  <c r="AH3383" i="2"/>
  <c r="AI3383" i="2"/>
  <c r="AJ3383" i="2"/>
  <c r="AF3384" i="2"/>
  <c r="AK3384" i="2" s="1"/>
  <c r="AG3384" i="2"/>
  <c r="AH3384" i="2"/>
  <c r="AI3384" i="2"/>
  <c r="AJ3384" i="2"/>
  <c r="AF3385" i="2"/>
  <c r="AK3385" i="2"/>
  <c r="AG3385" i="2"/>
  <c r="AL3385" i="2" s="1"/>
  <c r="AH3385" i="2"/>
  <c r="AI3385" i="2"/>
  <c r="AJ3385" i="2"/>
  <c r="AF3386" i="2"/>
  <c r="AK3386" i="2"/>
  <c r="AG3386" i="2"/>
  <c r="AL3386" i="2" s="1"/>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L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L3410" i="2" s="1"/>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c r="AG3415" i="2"/>
  <c r="AL3415" i="2" s="1"/>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L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L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c r="AG3440" i="2"/>
  <c r="AH3440" i="2"/>
  <c r="AL3440" i="2" s="1"/>
  <c r="AI3440" i="2"/>
  <c r="AJ3440" i="2"/>
  <c r="AF3441" i="2"/>
  <c r="AK3441" i="2"/>
  <c r="AG3441" i="2"/>
  <c r="AH3441" i="2"/>
  <c r="AI3441" i="2"/>
  <c r="AJ3441" i="2"/>
  <c r="AF3442" i="2"/>
  <c r="AK3442" i="2"/>
  <c r="AL3442" i="2"/>
  <c r="AG3442" i="2"/>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c r="AI3464" i="2"/>
  <c r="AJ3464" i="2"/>
  <c r="AF3465" i="2"/>
  <c r="AK3465" i="2" s="1"/>
  <c r="AG3465" i="2"/>
  <c r="AH3465" i="2"/>
  <c r="AI3465" i="2"/>
  <c r="AJ3465" i="2"/>
  <c r="AF3466" i="2"/>
  <c r="AK3466" i="2"/>
  <c r="AG3466" i="2"/>
  <c r="AH3466" i="2"/>
  <c r="AI3466" i="2"/>
  <c r="AJ3466" i="2"/>
  <c r="AF3467" i="2"/>
  <c r="AK3467" i="2"/>
  <c r="AG3467" i="2"/>
  <c r="AL3467" i="2" s="1"/>
  <c r="AH3467" i="2"/>
  <c r="AI3467" i="2"/>
  <c r="AJ3467" i="2"/>
  <c r="AF3468" i="2"/>
  <c r="AK3468" i="2"/>
  <c r="AG3468" i="2"/>
  <c r="AH3468" i="2"/>
  <c r="AL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L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L3480" i="2" s="1"/>
  <c r="AG3480" i="2"/>
  <c r="AH3480" i="2"/>
  <c r="AI3480" i="2"/>
  <c r="AJ3480" i="2"/>
  <c r="AF3481" i="2"/>
  <c r="AK3481" i="2" s="1"/>
  <c r="AG3481" i="2"/>
  <c r="AL3481" i="2" s="1"/>
  <c r="AH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L3492" i="2" s="1"/>
  <c r="AH3492" i="2"/>
  <c r="AI3492" i="2"/>
  <c r="AJ3492" i="2"/>
  <c r="AF3493" i="2"/>
  <c r="AK3493" i="2" s="1"/>
  <c r="AG3493" i="2"/>
  <c r="AH3493" i="2"/>
  <c r="AI3493" i="2"/>
  <c r="AJ3493" i="2"/>
  <c r="AF3494" i="2"/>
  <c r="AG3494" i="2"/>
  <c r="AH3494" i="2"/>
  <c r="AI3494" i="2"/>
  <c r="AJ3494" i="2"/>
  <c r="AK3494" i="2"/>
  <c r="AF3495" i="2"/>
  <c r="AK3495" i="2"/>
  <c r="AG3495" i="2"/>
  <c r="AH3495" i="2"/>
  <c r="AI3495" i="2"/>
  <c r="AJ3495" i="2"/>
  <c r="AF3496" i="2"/>
  <c r="AK3496" i="2" s="1"/>
  <c r="AG3496" i="2"/>
  <c r="AH3496" i="2"/>
  <c r="AI3496" i="2"/>
  <c r="AJ3496" i="2"/>
  <c r="AF3497" i="2"/>
  <c r="AK3497" i="2"/>
  <c r="AL3497" i="2" s="1"/>
  <c r="AG3497" i="2"/>
  <c r="AH3497" i="2"/>
  <c r="AI3497" i="2"/>
  <c r="AJ3497" i="2"/>
  <c r="AF3498" i="2"/>
  <c r="AK3498" i="2"/>
  <c r="AG3498" i="2"/>
  <c r="AH3498" i="2"/>
  <c r="AI3498" i="2"/>
  <c r="AJ3498" i="2"/>
  <c r="AF3499" i="2"/>
  <c r="AK3499" i="2" s="1"/>
  <c r="AL3499" i="2" s="1"/>
  <c r="AG3499" i="2"/>
  <c r="AH3499" i="2"/>
  <c r="AI3499" i="2"/>
  <c r="AJ3499" i="2"/>
  <c r="AF3500" i="2"/>
  <c r="AK3500" i="2" s="1"/>
  <c r="AG3500" i="2"/>
  <c r="AH3500" i="2"/>
  <c r="AI3500" i="2"/>
  <c r="AJ3500" i="2"/>
  <c r="AF3501" i="2"/>
  <c r="AK3501" i="2"/>
  <c r="AG3501" i="2"/>
  <c r="AH3501" i="2"/>
  <c r="AI3501" i="2"/>
  <c r="AJ3501" i="2"/>
  <c r="AF3502" i="2"/>
  <c r="AK3502" i="2" s="1"/>
  <c r="AG3502" i="2"/>
  <c r="AH3502" i="2"/>
  <c r="AI3502" i="2"/>
  <c r="AJ3502" i="2"/>
  <c r="AF3503" i="2"/>
  <c r="AK3503" i="2"/>
  <c r="AG3503" i="2"/>
  <c r="AL3503" i="2" s="1"/>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I3515" i="2"/>
  <c r="AJ3515" i="2"/>
  <c r="AF3516" i="2"/>
  <c r="AK3516" i="2" s="1"/>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L3521" i="2" s="1"/>
  <c r="AH3521" i="2"/>
  <c r="AI3521" i="2"/>
  <c r="AJ3521" i="2"/>
  <c r="AF3522" i="2"/>
  <c r="AK3522" i="2"/>
  <c r="AG3522" i="2"/>
  <c r="AH3522" i="2"/>
  <c r="AI3522" i="2"/>
  <c r="AJ3522" i="2"/>
  <c r="AF3523" i="2"/>
  <c r="AK3523" i="2" s="1"/>
  <c r="AG3523" i="2"/>
  <c r="AH3523" i="2"/>
  <c r="AI3523" i="2"/>
  <c r="AJ3523" i="2"/>
  <c r="AF3524" i="2"/>
  <c r="AK3524" i="2"/>
  <c r="AL3524" i="2" s="1"/>
  <c r="AG3524" i="2"/>
  <c r="AH3524" i="2"/>
  <c r="AI3524" i="2"/>
  <c r="AJ3524" i="2"/>
  <c r="AF3525" i="2"/>
  <c r="AK3525" i="2" s="1"/>
  <c r="AG3525" i="2"/>
  <c r="AH3525" i="2"/>
  <c r="AI3525" i="2"/>
  <c r="AJ3525" i="2"/>
  <c r="AF3526" i="2"/>
  <c r="AK3526" i="2"/>
  <c r="AL3526" i="2" s="1"/>
  <c r="AG3526" i="2"/>
  <c r="AH3526" i="2"/>
  <c r="AI3526" i="2"/>
  <c r="AJ3526" i="2"/>
  <c r="AF3527" i="2"/>
  <c r="AK3527" i="2"/>
  <c r="AG3527" i="2"/>
  <c r="AH3527" i="2"/>
  <c r="AI3527" i="2"/>
  <c r="AJ3527" i="2"/>
  <c r="AF3528" i="2"/>
  <c r="AK3528" i="2" s="1"/>
  <c r="AG3528" i="2"/>
  <c r="AH3528" i="2"/>
  <c r="AI3528" i="2"/>
  <c r="AJ3528" i="2"/>
  <c r="AF3529" i="2"/>
  <c r="AK3529" i="2"/>
  <c r="AG3529" i="2"/>
  <c r="AH3529" i="2"/>
  <c r="AI3529" i="2"/>
  <c r="AJ3529" i="2"/>
  <c r="AF3530" i="2"/>
  <c r="AK3530" i="2" s="1"/>
  <c r="AG3530" i="2"/>
  <c r="AL3530" i="2" s="1"/>
  <c r="AH3530" i="2"/>
  <c r="AI3530" i="2"/>
  <c r="AJ3530" i="2"/>
  <c r="AF3531" i="2"/>
  <c r="AK3531" i="2" s="1"/>
  <c r="AG3531" i="2"/>
  <c r="AH3531" i="2"/>
  <c r="AI3531" i="2"/>
  <c r="AL3531" i="2" s="1"/>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s="1"/>
  <c r="AG3550" i="2"/>
  <c r="AH3550" i="2"/>
  <c r="AI3550" i="2"/>
  <c r="AJ3550" i="2"/>
  <c r="AF3551" i="2"/>
  <c r="AK3551" i="2"/>
  <c r="AG3551" i="2"/>
  <c r="AH3551" i="2"/>
  <c r="AI3551" i="2"/>
  <c r="AJ3551" i="2"/>
  <c r="AF3552" i="2"/>
  <c r="AK3552" i="2" s="1"/>
  <c r="AL3552" i="2" s="1"/>
  <c r="AG3552" i="2"/>
  <c r="AH3552" i="2"/>
  <c r="AI3552" i="2"/>
  <c r="AJ3552" i="2"/>
  <c r="AF3553" i="2"/>
  <c r="AK3553" i="2" s="1"/>
  <c r="AG3553" i="2"/>
  <c r="AH3553" i="2"/>
  <c r="AI3553" i="2"/>
  <c r="AJ3553" i="2"/>
  <c r="AF3554" i="2"/>
  <c r="AK3554" i="2"/>
  <c r="AG3554" i="2"/>
  <c r="AH3554" i="2"/>
  <c r="AI3554" i="2"/>
  <c r="AJ3554" i="2"/>
  <c r="AF3555" i="2"/>
  <c r="AK3555" i="2" s="1"/>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L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J3571" i="2"/>
  <c r="AL3571" i="2" s="1"/>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L3579" i="2" s="1"/>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L3610" i="2"/>
  <c r="AH3610" i="2"/>
  <c r="AI3610" i="2"/>
  <c r="AJ3610" i="2"/>
  <c r="AF3611" i="2"/>
  <c r="AK3611" i="2"/>
  <c r="AG3611" i="2"/>
  <c r="AH3611" i="2"/>
  <c r="AL3611" i="2" s="1"/>
  <c r="AI3611" i="2"/>
  <c r="AJ3611" i="2"/>
  <c r="AF3612" i="2"/>
  <c r="AK3612" i="2"/>
  <c r="AG3612" i="2"/>
  <c r="AH3612" i="2"/>
  <c r="AI3612" i="2"/>
  <c r="AJ3612" i="2"/>
  <c r="AF3613" i="2"/>
  <c r="AK3613" i="2" s="1"/>
  <c r="AL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H3695" i="2"/>
  <c r="AI3695" i="2"/>
  <c r="AJ3695" i="2"/>
  <c r="AF3696" i="2"/>
  <c r="AK3696" i="2" s="1"/>
  <c r="AL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L3704" i="2" s="1"/>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F3710" i="2"/>
  <c r="AK3710" i="2"/>
  <c r="AG3710" i="2"/>
  <c r="AH3710" i="2"/>
  <c r="AI3710" i="2"/>
  <c r="AJ3710" i="2"/>
  <c r="AF3711" i="2"/>
  <c r="AK3711" i="2" s="1"/>
  <c r="AG3711" i="2"/>
  <c r="AH3711" i="2"/>
  <c r="AI3711" i="2"/>
  <c r="AJ3711" i="2"/>
  <c r="AF3712" i="2"/>
  <c r="AK3712" i="2" s="1"/>
  <c r="AG3712" i="2"/>
  <c r="AL3712" i="2" s="1"/>
  <c r="AH3712" i="2"/>
  <c r="AI3712" i="2"/>
  <c r="AJ3712" i="2"/>
  <c r="AF3713" i="2"/>
  <c r="AK3713" i="2"/>
  <c r="AG3713" i="2"/>
  <c r="AH3713" i="2"/>
  <c r="AL3713" i="2" s="1"/>
  <c r="AI3713" i="2"/>
  <c r="AJ3713" i="2"/>
  <c r="AF3714" i="2"/>
  <c r="AK3714" i="2"/>
  <c r="AG3714" i="2"/>
  <c r="AH3714" i="2"/>
  <c r="AI3714" i="2"/>
  <c r="AJ3714" i="2"/>
  <c r="AF3715" i="2"/>
  <c r="AK3715" i="2"/>
  <c r="AG3715" i="2"/>
  <c r="AH3715" i="2"/>
  <c r="AL3715" i="2" s="1"/>
  <c r="AI3715" i="2"/>
  <c r="AJ3715" i="2"/>
  <c r="AF3716" i="2"/>
  <c r="AK3716" i="2"/>
  <c r="AL3716" i="2"/>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L3719" i="2" s="1"/>
  <c r="AJ3719" i="2"/>
  <c r="AF3720" i="2"/>
  <c r="AK3720" i="2"/>
  <c r="AG3720" i="2"/>
  <c r="AH3720" i="2"/>
  <c r="AI3720" i="2"/>
  <c r="AJ3720" i="2"/>
  <c r="AF3721" i="2"/>
  <c r="AK3721" i="2" s="1"/>
  <c r="AG3721" i="2"/>
  <c r="AL3721" i="2" s="1"/>
  <c r="AH3721" i="2"/>
  <c r="AI3721" i="2"/>
  <c r="AJ3721" i="2"/>
  <c r="AF3722" i="2"/>
  <c r="AK3722" i="2" s="1"/>
  <c r="AG3722" i="2"/>
  <c r="AH3722" i="2"/>
  <c r="AI3722" i="2"/>
  <c r="AJ3722" i="2"/>
  <c r="AF3723" i="2"/>
  <c r="AK3723" i="2"/>
  <c r="AG3723" i="2"/>
  <c r="AH3723" i="2"/>
  <c r="AI3723" i="2"/>
  <c r="AJ3723" i="2"/>
  <c r="AF3724" i="2"/>
  <c r="AK3724" i="2" s="1"/>
  <c r="AL3724" i="2" s="1"/>
  <c r="AG3724" i="2"/>
  <c r="AH3724" i="2"/>
  <c r="AI3724" i="2"/>
  <c r="AJ3724" i="2"/>
  <c r="AF3725" i="2"/>
  <c r="AK3725" i="2"/>
  <c r="AG3725" i="2"/>
  <c r="AH3725" i="2"/>
  <c r="AI3725" i="2"/>
  <c r="AJ3725" i="2"/>
  <c r="AF3726" i="2"/>
  <c r="AK3726" i="2" s="1"/>
  <c r="AG3726" i="2"/>
  <c r="AL3726" i="2" s="1"/>
  <c r="AH3726" i="2"/>
  <c r="AI3726" i="2"/>
  <c r="AJ3726" i="2"/>
  <c r="AF3727" i="2"/>
  <c r="AK3727" i="2" s="1"/>
  <c r="AG3727" i="2"/>
  <c r="AH3727" i="2"/>
  <c r="AI3727" i="2"/>
  <c r="AJ3727" i="2"/>
  <c r="AF3728" i="2"/>
  <c r="AK3728" i="2"/>
  <c r="AG3728" i="2"/>
  <c r="AL3728" i="2" s="1"/>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L3741" i="2" s="1"/>
  <c r="AH3741" i="2"/>
  <c r="AI3741" i="2"/>
  <c r="AJ3741" i="2"/>
  <c r="AF3742" i="2"/>
  <c r="AK3742" i="2" s="1"/>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L3755" i="2" s="1"/>
  <c r="AG3755" i="2"/>
  <c r="AH3755" i="2"/>
  <c r="AI3755" i="2"/>
  <c r="AJ3755" i="2"/>
  <c r="AF3756" i="2"/>
  <c r="AK3756" i="2"/>
  <c r="AG3756" i="2"/>
  <c r="AH3756" i="2"/>
  <c r="AI3756" i="2"/>
  <c r="AJ3756" i="2"/>
  <c r="AF3757" i="2"/>
  <c r="AK3757" i="2" s="1"/>
  <c r="AG3757" i="2"/>
  <c r="AH3757" i="2"/>
  <c r="AI3757" i="2"/>
  <c r="AJ3757" i="2"/>
  <c r="AF3758" i="2"/>
  <c r="AK3758" i="2" s="1"/>
  <c r="AG3758" i="2"/>
  <c r="AH3758" i="2"/>
  <c r="AL3758" i="2" s="1"/>
  <c r="AI3758" i="2"/>
  <c r="AJ3758" i="2"/>
  <c r="AF3759" i="2"/>
  <c r="AK3759" i="2"/>
  <c r="AG3759" i="2"/>
  <c r="AH3759" i="2"/>
  <c r="AI3759" i="2"/>
  <c r="AJ3759" i="2"/>
  <c r="AF3760" i="2"/>
  <c r="AK3760" i="2"/>
  <c r="AG3760" i="2"/>
  <c r="AH3760" i="2"/>
  <c r="AI3760" i="2"/>
  <c r="AL3760" i="2" s="1"/>
  <c r="AJ3760" i="2"/>
  <c r="AF3761" i="2"/>
  <c r="AK3761" i="2" s="1"/>
  <c r="AL3761" i="2" s="1"/>
  <c r="AG3761" i="2"/>
  <c r="AH3761" i="2"/>
  <c r="AI3761" i="2"/>
  <c r="AJ3761" i="2"/>
  <c r="AF3762" i="2"/>
  <c r="AK3762" i="2" s="1"/>
  <c r="AG3762" i="2"/>
  <c r="AH3762" i="2"/>
  <c r="AI3762" i="2"/>
  <c r="AJ3762" i="2"/>
  <c r="AF3763" i="2"/>
  <c r="AK3763" i="2"/>
  <c r="AG3763" i="2"/>
  <c r="AH3763" i="2"/>
  <c r="AI3763" i="2"/>
  <c r="AJ3763" i="2"/>
  <c r="AF3764" i="2"/>
  <c r="AK3764" i="2" s="1"/>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L3771" i="2" s="1"/>
  <c r="AJ3771" i="2"/>
  <c r="AF3772" i="2"/>
  <c r="AK3772" i="2" s="1"/>
  <c r="AG3772" i="2"/>
  <c r="AH3772" i="2"/>
  <c r="AI3772" i="2"/>
  <c r="AJ3772" i="2"/>
  <c r="AF3773" i="2"/>
  <c r="AK3773" i="2"/>
  <c r="AG3773" i="2"/>
  <c r="AH3773" i="2"/>
  <c r="AI3773" i="2"/>
  <c r="AJ3773" i="2"/>
  <c r="AF3774" i="2"/>
  <c r="AK3774" i="2" s="1"/>
  <c r="AG3774" i="2"/>
  <c r="AH3774" i="2"/>
  <c r="AI3774" i="2"/>
  <c r="AJ3774" i="2"/>
  <c r="AF3775" i="2"/>
  <c r="AK3775" i="2" s="1"/>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L3832" i="2" s="1"/>
  <c r="AJ3832" i="2"/>
  <c r="AF3833" i="2"/>
  <c r="AK3833" i="2"/>
  <c r="AG3833" i="2"/>
  <c r="AH3833" i="2"/>
  <c r="AI3833" i="2"/>
  <c r="AJ3833" i="2"/>
  <c r="AF3834" i="2"/>
  <c r="AK3834" i="2"/>
  <c r="AG3834" i="2"/>
  <c r="AH3834" i="2"/>
  <c r="AI3834" i="2"/>
  <c r="AJ3834" i="2"/>
  <c r="AF3835" i="2"/>
  <c r="AK3835" i="2"/>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L3865" i="2" s="1"/>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H3872" i="2"/>
  <c r="AI3872" i="2"/>
  <c r="AJ3872" i="2"/>
  <c r="AF3873" i="2"/>
  <c r="AK3873" i="2" s="1"/>
  <c r="AG3873" i="2"/>
  <c r="AH3873" i="2"/>
  <c r="AI3873" i="2"/>
  <c r="AJ3873" i="2"/>
  <c r="AF3874" i="2"/>
  <c r="AK3874" i="2"/>
  <c r="AG3874" i="2"/>
  <c r="AL3874" i="2" s="1"/>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H3883" i="2"/>
  <c r="AI3883" i="2"/>
  <c r="AJ3883" i="2"/>
  <c r="AF3884" i="2"/>
  <c r="AK3884" i="2"/>
  <c r="AG3884" i="2"/>
  <c r="AH3884" i="2"/>
  <c r="AI3884" i="2"/>
  <c r="AJ3884" i="2"/>
  <c r="AF3885" i="2"/>
  <c r="AK3885" i="2" s="1"/>
  <c r="AG3885" i="2"/>
  <c r="AL3885" i="2" s="1"/>
  <c r="AH3885" i="2"/>
  <c r="AI3885" i="2"/>
  <c r="AJ3885" i="2"/>
  <c r="AF3886" i="2"/>
  <c r="AK3886" i="2"/>
  <c r="AG3886" i="2"/>
  <c r="AH3886" i="2"/>
  <c r="AI3886" i="2"/>
  <c r="AJ3886" i="2"/>
  <c r="AF3887" i="2"/>
  <c r="AK3887" i="2"/>
  <c r="AG3887" i="2"/>
  <c r="AL3887" i="2" s="1"/>
  <c r="AH3887" i="2"/>
  <c r="AI3887" i="2"/>
  <c r="AJ3887" i="2"/>
  <c r="AF3888" i="2"/>
  <c r="AK3888" i="2"/>
  <c r="AG3888" i="2"/>
  <c r="AH3888" i="2"/>
  <c r="AI3888" i="2"/>
  <c r="AJ3888" i="2"/>
  <c r="AF3889" i="2"/>
  <c r="AK3889" i="2"/>
  <c r="AG3889" i="2"/>
  <c r="AL3889" i="2" s="1"/>
  <c r="AH3889" i="2"/>
  <c r="AI3889" i="2"/>
  <c r="AJ3889" i="2"/>
  <c r="AF3890" i="2"/>
  <c r="AK3890" i="2"/>
  <c r="AG3890" i="2"/>
  <c r="AH3890" i="2"/>
  <c r="AI3890" i="2"/>
  <c r="AJ3890" i="2"/>
  <c r="AF3891" i="2"/>
  <c r="AG3891" i="2"/>
  <c r="AH3891" i="2"/>
  <c r="AL3891" i="2" s="1"/>
  <c r="AI3891" i="2"/>
  <c r="AJ3891" i="2"/>
  <c r="AK3891" i="2"/>
  <c r="AF3892" i="2"/>
  <c r="AK3892" i="2"/>
  <c r="AG3892" i="2"/>
  <c r="AL3892" i="2" s="1"/>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c r="AG3900" i="2"/>
  <c r="AL3900" i="2"/>
  <c r="AH3900" i="2"/>
  <c r="AI3900" i="2"/>
  <c r="AJ3900" i="2"/>
  <c r="AF3901" i="2"/>
  <c r="AK3901" i="2"/>
  <c r="AL3901" i="2" s="1"/>
  <c r="AG3901" i="2"/>
  <c r="AH3901" i="2"/>
  <c r="AI3901" i="2"/>
  <c r="AJ3901" i="2"/>
  <c r="AF3902" i="2"/>
  <c r="AK3902" i="2" s="1"/>
  <c r="AG3902" i="2"/>
  <c r="AH3902" i="2"/>
  <c r="AI3902" i="2"/>
  <c r="AJ3902" i="2"/>
  <c r="AF3903" i="2"/>
  <c r="AK3903" i="2"/>
  <c r="AG3903" i="2"/>
  <c r="AL3903" i="2" s="1"/>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L3912" i="2" s="1"/>
  <c r="AG3912" i="2"/>
  <c r="AH3912" i="2"/>
  <c r="AI3912" i="2"/>
  <c r="AJ3912" i="2"/>
  <c r="AF3913" i="2"/>
  <c r="AK3913" i="2"/>
  <c r="AG3913" i="2"/>
  <c r="AH3913" i="2"/>
  <c r="AI3913" i="2"/>
  <c r="AJ3913" i="2"/>
  <c r="AF3914" i="2"/>
  <c r="AK3914" i="2" s="1"/>
  <c r="AG3914" i="2"/>
  <c r="AL3914" i="2" s="1"/>
  <c r="AH3914" i="2"/>
  <c r="AI3914" i="2"/>
  <c r="AJ3914" i="2"/>
  <c r="AF3915" i="2"/>
  <c r="AK3915" i="2"/>
  <c r="AG3915" i="2"/>
  <c r="AL3915" i="2" s="1"/>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L3925" i="2" s="1"/>
  <c r="AH3925" i="2"/>
  <c r="AI3925" i="2"/>
  <c r="AJ3925" i="2"/>
  <c r="AF3926" i="2"/>
  <c r="AK3926" i="2" s="1"/>
  <c r="AG3926" i="2"/>
  <c r="AH3926" i="2"/>
  <c r="AL3926" i="2" s="1"/>
  <c r="AI3926" i="2"/>
  <c r="AJ3926" i="2"/>
  <c r="AF3927" i="2"/>
  <c r="AK3927" i="2" s="1"/>
  <c r="AG3927" i="2"/>
  <c r="AH3927" i="2"/>
  <c r="AI3927" i="2"/>
  <c r="AJ3927" i="2"/>
  <c r="AF3928" i="2"/>
  <c r="AK3928" i="2"/>
  <c r="AG3928" i="2"/>
  <c r="AH3928" i="2"/>
  <c r="AL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L3932" i="2" s="1"/>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L3943" i="2" s="1"/>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L3947" i="2"/>
  <c r="AH3947" i="2"/>
  <c r="AI3947" i="2"/>
  <c r="AJ3947" i="2"/>
  <c r="AF3948" i="2"/>
  <c r="AK3948" i="2"/>
  <c r="AG3948" i="2"/>
  <c r="AL3948" i="2" s="1"/>
  <c r="AH3948" i="2"/>
  <c r="AI3948" i="2"/>
  <c r="AJ3948" i="2"/>
  <c r="AF3949" i="2"/>
  <c r="AK3949" i="2"/>
  <c r="AG3949" i="2"/>
  <c r="AH3949" i="2"/>
  <c r="AI3949" i="2"/>
  <c r="AJ3949" i="2"/>
  <c r="AF3950" i="2"/>
  <c r="AK3950" i="2"/>
  <c r="AG3950" i="2"/>
  <c r="AL3950" i="2" s="1"/>
  <c r="AH3950" i="2"/>
  <c r="AI3950" i="2"/>
  <c r="AJ3950" i="2"/>
  <c r="AF3951" i="2"/>
  <c r="AK3951" i="2" s="1"/>
  <c r="AG3951" i="2"/>
  <c r="AH3951" i="2"/>
  <c r="AL3951" i="2" s="1"/>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c r="AG3955" i="2"/>
  <c r="AH3955" i="2"/>
  <c r="AL3955" i="2" s="1"/>
  <c r="AI3955" i="2"/>
  <c r="AJ3955" i="2"/>
  <c r="AF3956" i="2"/>
  <c r="AK3956" i="2"/>
  <c r="AG3956" i="2"/>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L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s="1"/>
  <c r="AG4043" i="2"/>
  <c r="AH4043" i="2"/>
  <c r="AI4043" i="2"/>
  <c r="AJ4043" i="2"/>
  <c r="AL4043" i="2" s="1"/>
  <c r="AF4044" i="2"/>
  <c r="AK4044" i="2"/>
  <c r="AG4044" i="2"/>
  <c r="AH4044" i="2"/>
  <c r="AI4044" i="2"/>
  <c r="AJ4044" i="2"/>
  <c r="AF4045" i="2"/>
  <c r="AK4045" i="2"/>
  <c r="AG4045" i="2"/>
  <c r="AH4045" i="2"/>
  <c r="AI4045" i="2"/>
  <c r="AJ4045" i="2"/>
  <c r="AF4046" i="2"/>
  <c r="AK4046" i="2"/>
  <c r="AG4046" i="2"/>
  <c r="AH4046" i="2"/>
  <c r="AI4046" i="2"/>
  <c r="AL4046" i="2" s="1"/>
  <c r="AJ4046" i="2"/>
  <c r="AF4047" i="2"/>
  <c r="AK4047" i="2"/>
  <c r="AG4047" i="2"/>
  <c r="AH4047" i="2"/>
  <c r="AI4047" i="2"/>
  <c r="AJ4047" i="2"/>
  <c r="AF4048" i="2"/>
  <c r="AK4048" i="2"/>
  <c r="AG4048" i="2"/>
  <c r="AH4048" i="2"/>
  <c r="AI4048" i="2"/>
  <c r="AL4048" i="2" s="1"/>
  <c r="AJ4048" i="2"/>
  <c r="AF4049" i="2"/>
  <c r="AK4049" i="2"/>
  <c r="AG4049" i="2"/>
  <c r="AH4049" i="2"/>
  <c r="AI4049" i="2"/>
  <c r="AJ4049" i="2"/>
  <c r="AF4050" i="2"/>
  <c r="AK4050" i="2"/>
  <c r="AG4050" i="2"/>
  <c r="AH4050" i="2"/>
  <c r="AI4050" i="2"/>
  <c r="AL4050" i="2" s="1"/>
  <c r="AJ4050" i="2"/>
  <c r="AF4051" i="2"/>
  <c r="AK4051" i="2"/>
  <c r="AG4051" i="2"/>
  <c r="AH4051" i="2"/>
  <c r="AI4051" i="2"/>
  <c r="AJ4051" i="2"/>
  <c r="AF4052" i="2"/>
  <c r="AK4052" i="2"/>
  <c r="AG4052" i="2"/>
  <c r="AH4052" i="2"/>
  <c r="AL4052" i="2"/>
  <c r="AI4052" i="2"/>
  <c r="AJ4052" i="2"/>
  <c r="AF4053" i="2"/>
  <c r="AK4053" i="2"/>
  <c r="AG4053" i="2"/>
  <c r="AH4053" i="2"/>
  <c r="AI4053" i="2"/>
  <c r="AJ4053" i="2"/>
  <c r="AF4054" i="2"/>
  <c r="AK4054" i="2" s="1"/>
  <c r="AG4054" i="2"/>
  <c r="AH4054" i="2"/>
  <c r="AI4054" i="2"/>
  <c r="AJ4054" i="2"/>
  <c r="AF4055" i="2"/>
  <c r="AK4055" i="2"/>
  <c r="AL4055" i="2" s="1"/>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L4059" i="2" s="1"/>
  <c r="AI4059" i="2"/>
  <c r="AJ4059" i="2"/>
  <c r="AF4060" i="2"/>
  <c r="AK4060" i="2" s="1"/>
  <c r="AG4060" i="2"/>
  <c r="AH4060" i="2"/>
  <c r="AI4060" i="2"/>
  <c r="AJ4060" i="2"/>
  <c r="AF4061" i="2"/>
  <c r="AK4061" i="2"/>
  <c r="AL4061" i="2" s="1"/>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L4065" i="2" s="1"/>
  <c r="AI4065" i="2"/>
  <c r="AJ4065" i="2"/>
  <c r="AF4066" i="2"/>
  <c r="AK4066" i="2" s="1"/>
  <c r="AG4066" i="2"/>
  <c r="AH4066" i="2"/>
  <c r="AI4066" i="2"/>
  <c r="AJ4066" i="2"/>
  <c r="AF4067" i="2"/>
  <c r="AK4067" i="2"/>
  <c r="AG4067" i="2"/>
  <c r="AH4067" i="2"/>
  <c r="AI4067" i="2"/>
  <c r="AJ4067" i="2"/>
  <c r="AF4068" i="2"/>
  <c r="AK4068" i="2" s="1"/>
  <c r="AG4068" i="2"/>
  <c r="AL4068" i="2" s="1"/>
  <c r="AH4068" i="2"/>
  <c r="AI4068" i="2"/>
  <c r="AJ4068" i="2"/>
  <c r="AF4069" i="2"/>
  <c r="AK4069" i="2"/>
  <c r="AG4069" i="2"/>
  <c r="AH4069" i="2"/>
  <c r="AI4069" i="2"/>
  <c r="AJ4069" i="2"/>
  <c r="AF4070" i="2"/>
  <c r="AK4070" i="2" s="1"/>
  <c r="AG4070" i="2"/>
  <c r="AH4070" i="2"/>
  <c r="AL4070" i="2" s="1"/>
  <c r="AI4070" i="2"/>
  <c r="AJ4070" i="2"/>
  <c r="AF4071" i="2"/>
  <c r="AK4071" i="2"/>
  <c r="AG4071" i="2"/>
  <c r="AH4071" i="2"/>
  <c r="AI4071" i="2"/>
  <c r="AJ4071" i="2"/>
  <c r="AF4072" i="2"/>
  <c r="AK4072" i="2" s="1"/>
  <c r="AG4072" i="2"/>
  <c r="AH4072" i="2"/>
  <c r="AI4072" i="2"/>
  <c r="AJ4072" i="2"/>
  <c r="AF4073" i="2"/>
  <c r="AK4073" i="2" s="1"/>
  <c r="AG4073" i="2"/>
  <c r="AH4073" i="2"/>
  <c r="AI4073" i="2"/>
  <c r="AJ4073" i="2"/>
  <c r="AF4074" i="2"/>
  <c r="AK4074" i="2"/>
  <c r="AG4074" i="2"/>
  <c r="AL4074" i="2" s="1"/>
  <c r="AH4074" i="2"/>
  <c r="AI4074" i="2"/>
  <c r="AJ4074" i="2"/>
  <c r="AF4075" i="2"/>
  <c r="AK4075" i="2" s="1"/>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s="1"/>
  <c r="AG4084" i="2"/>
  <c r="AH4084" i="2"/>
  <c r="AI4084" i="2"/>
  <c r="AJ4084" i="2"/>
  <c r="AL4084" i="2" s="1"/>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L4097" i="2"/>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F4102" i="2"/>
  <c r="AK4102" i="2"/>
  <c r="AG4102" i="2"/>
  <c r="AH4102" i="2"/>
  <c r="AI4102" i="2"/>
  <c r="AJ4102" i="2"/>
  <c r="AF4103" i="2"/>
  <c r="AK4103" i="2" s="1"/>
  <c r="AG4103" i="2"/>
  <c r="AH4103" i="2"/>
  <c r="AI4103" i="2"/>
  <c r="AJ4103" i="2"/>
  <c r="AF4104" i="2"/>
  <c r="AK4104" i="2"/>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J4111" i="2"/>
  <c r="AL4111" i="2" s="1"/>
  <c r="AF4112" i="2"/>
  <c r="AK4112" i="2"/>
  <c r="AG4112" i="2"/>
  <c r="AH4112" i="2"/>
  <c r="AI4112" i="2"/>
  <c r="AL4112" i="2" s="1"/>
  <c r="AJ4112" i="2"/>
  <c r="AF4113" i="2"/>
  <c r="AK4113" i="2" s="1"/>
  <c r="AG4113" i="2"/>
  <c r="AH4113" i="2"/>
  <c r="AI4113" i="2"/>
  <c r="AJ4113" i="2"/>
  <c r="AF4114" i="2"/>
  <c r="AK4114" i="2"/>
  <c r="AG4114" i="2"/>
  <c r="AH4114" i="2"/>
  <c r="AI4114" i="2"/>
  <c r="AJ4114" i="2"/>
  <c r="AF4115" i="2"/>
  <c r="AK4115" i="2" s="1"/>
  <c r="AG4115" i="2"/>
  <c r="AH4115" i="2"/>
  <c r="AI4115" i="2"/>
  <c r="AJ4115" i="2"/>
  <c r="AF4116" i="2"/>
  <c r="AK4116" i="2" s="1"/>
  <c r="AG4116" i="2"/>
  <c r="AH4116" i="2"/>
  <c r="AI4116" i="2"/>
  <c r="AJ4116" i="2"/>
  <c r="AF4117" i="2"/>
  <c r="AG4117" i="2"/>
  <c r="AH4117" i="2"/>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L4129" i="2" s="1"/>
  <c r="AH4129" i="2"/>
  <c r="AI4129" i="2"/>
  <c r="AJ4129" i="2"/>
  <c r="AF4130" i="2"/>
  <c r="AK4130" i="2"/>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L4145" i="2" s="1"/>
  <c r="AI4145" i="2"/>
  <c r="AJ4145" i="2"/>
  <c r="AF4146" i="2"/>
  <c r="AK4146" i="2" s="1"/>
  <c r="AG4146" i="2"/>
  <c r="AH4146" i="2"/>
  <c r="AI4146" i="2"/>
  <c r="AJ4146" i="2"/>
  <c r="AF4147" i="2"/>
  <c r="AK4147" i="2" s="1"/>
  <c r="AG4147" i="2"/>
  <c r="AH4147" i="2"/>
  <c r="AI4147" i="2"/>
  <c r="AL4147" i="2" s="1"/>
  <c r="AJ4147" i="2"/>
  <c r="AF4148" i="2"/>
  <c r="AK4148" i="2"/>
  <c r="AG4148" i="2"/>
  <c r="AH4148" i="2"/>
  <c r="AI4148" i="2"/>
  <c r="AJ4148" i="2"/>
  <c r="AF4149" i="2"/>
  <c r="AK4149" i="2"/>
  <c r="AG4149" i="2"/>
  <c r="AH4149" i="2"/>
  <c r="AI4149" i="2"/>
  <c r="AL4149" i="2" s="1"/>
  <c r="AJ4149" i="2"/>
  <c r="AF4150" i="2"/>
  <c r="AK4150" i="2"/>
  <c r="AG4150" i="2"/>
  <c r="AH4150" i="2"/>
  <c r="AI4150" i="2"/>
  <c r="AJ4150" i="2"/>
  <c r="AF4151" i="2"/>
  <c r="AK4151" i="2"/>
  <c r="AG4151" i="2"/>
  <c r="AH4151" i="2"/>
  <c r="AI4151" i="2"/>
  <c r="AL4151" i="2" s="1"/>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L4155" i="2" s="1"/>
  <c r="AJ4155" i="2"/>
  <c r="AF4156" i="2"/>
  <c r="AK4156" i="2"/>
  <c r="AG4156" i="2"/>
  <c r="AL4156" i="2" s="1"/>
  <c r="AH4156" i="2"/>
  <c r="AI4156" i="2"/>
  <c r="AJ4156" i="2"/>
  <c r="AF4157" i="2"/>
  <c r="AK4157" i="2"/>
  <c r="AG4157" i="2"/>
  <c r="AH4157" i="2"/>
  <c r="AI4157" i="2"/>
  <c r="AL4157" i="2" s="1"/>
  <c r="AJ4157" i="2"/>
  <c r="AF4158" i="2"/>
  <c r="AK4158" i="2"/>
  <c r="AG4158" i="2"/>
  <c r="AH4158" i="2"/>
  <c r="AI4158" i="2"/>
  <c r="AJ4158" i="2"/>
  <c r="AF4159" i="2"/>
  <c r="AK4159" i="2"/>
  <c r="AG4159" i="2"/>
  <c r="AH4159" i="2"/>
  <c r="AI4159" i="2"/>
  <c r="AL4159" i="2" s="1"/>
  <c r="AJ4159" i="2"/>
  <c r="AF4160" i="2"/>
  <c r="AK4160" i="2"/>
  <c r="AG4160" i="2"/>
  <c r="AH4160" i="2"/>
  <c r="AI4160" i="2"/>
  <c r="AJ4160" i="2"/>
  <c r="AF4161" i="2"/>
  <c r="AK4161" i="2"/>
  <c r="AG4161" i="2"/>
  <c r="AH4161" i="2"/>
  <c r="AI4161" i="2"/>
  <c r="AL4161" i="2" s="1"/>
  <c r="AJ4161" i="2"/>
  <c r="AF4162" i="2"/>
  <c r="AK4162" i="2"/>
  <c r="AG4162" i="2"/>
  <c r="AL4162" i="2" s="1"/>
  <c r="AH4162" i="2"/>
  <c r="AI4162" i="2"/>
  <c r="AJ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L4168" i="2" s="1"/>
  <c r="AG4168" i="2"/>
  <c r="AH4168" i="2"/>
  <c r="AI4168" i="2"/>
  <c r="AJ4168" i="2"/>
  <c r="AF4169" i="2"/>
  <c r="AK4169" i="2" s="1"/>
  <c r="AG4169" i="2"/>
  <c r="AH4169" i="2"/>
  <c r="AI4169" i="2"/>
  <c r="AJ4169" i="2"/>
  <c r="AF4170" i="2"/>
  <c r="AK4170" i="2"/>
  <c r="AG4170" i="2"/>
  <c r="AL4170" i="2" s="1"/>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L4176" i="2" s="1"/>
  <c r="AF4177" i="2"/>
  <c r="AK4177" i="2"/>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c r="AL4181" i="2" s="1"/>
  <c r="AG4181" i="2"/>
  <c r="AH4181" i="2"/>
  <c r="AI4181" i="2"/>
  <c r="AJ4181" i="2"/>
  <c r="AF4182" i="2"/>
  <c r="AK4182" i="2" s="1"/>
  <c r="AG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L4213" i="2" s="1"/>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L4222" i="2" s="1"/>
  <c r="AH4222" i="2"/>
  <c r="AI4222" i="2"/>
  <c r="AJ4222" i="2"/>
  <c r="AF4223" i="2"/>
  <c r="AK4223" i="2" s="1"/>
  <c r="AG4223" i="2"/>
  <c r="AH4223" i="2"/>
  <c r="AI4223" i="2"/>
  <c r="AJ4223" i="2"/>
  <c r="AF4224" i="2"/>
  <c r="AK4224" i="2" s="1"/>
  <c r="AL4224" i="2" s="1"/>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L4228" i="2" s="1"/>
  <c r="AH4228" i="2"/>
  <c r="AI4228" i="2"/>
  <c r="AJ4228" i="2"/>
  <c r="AF4229" i="2"/>
  <c r="AK4229" i="2"/>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L4244" i="2" s="1"/>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H4250" i="2"/>
  <c r="AL4250" i="2" s="1"/>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H4256" i="2"/>
  <c r="AI4256" i="2"/>
  <c r="AJ4256" i="2"/>
  <c r="AF4257" i="2"/>
  <c r="AK4257" i="2"/>
  <c r="AG4257" i="2"/>
  <c r="AH4257" i="2"/>
  <c r="AI4257" i="2"/>
  <c r="AJ4257" i="2"/>
  <c r="AF4258" i="2"/>
  <c r="AK4258" i="2" s="1"/>
  <c r="AG4258" i="2"/>
  <c r="AL4258" i="2"/>
  <c r="AH4258" i="2"/>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s="1"/>
  <c r="AG4265" i="2"/>
  <c r="AL4265" i="2" s="1"/>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s="1"/>
  <c r="AH4269" i="2"/>
  <c r="AI4269" i="2"/>
  <c r="AJ4269" i="2"/>
  <c r="AF4270" i="2"/>
  <c r="AG4270" i="2"/>
  <c r="AH4270" i="2"/>
  <c r="AI4270" i="2"/>
  <c r="AJ4270" i="2"/>
  <c r="AK4270" i="2"/>
  <c r="AF4271" i="2"/>
  <c r="AK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L4274" i="2" s="1"/>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L4279" i="2" s="1"/>
  <c r="AG4279" i="2"/>
  <c r="AH4279" i="2"/>
  <c r="AI4279" i="2"/>
  <c r="AJ4279" i="2"/>
  <c r="AF4280" i="2"/>
  <c r="AK4280" i="2"/>
  <c r="AG4280" i="2"/>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s="1"/>
  <c r="AG4289" i="2"/>
  <c r="AH4289" i="2"/>
  <c r="AL4289" i="2" s="1"/>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L4294" i="2" s="1"/>
  <c r="AJ4294" i="2"/>
  <c r="AF4295" i="2"/>
  <c r="AK4295" i="2"/>
  <c r="AG4295" i="2"/>
  <c r="AL4295" i="2" s="1"/>
  <c r="AH4295" i="2"/>
  <c r="AI4295" i="2"/>
  <c r="AJ4295" i="2"/>
  <c r="AF4296" i="2"/>
  <c r="AK4296" i="2" s="1"/>
  <c r="AL4296" i="2"/>
  <c r="AG4296" i="2"/>
  <c r="AH4296" i="2"/>
  <c r="AI4296" i="2"/>
  <c r="AJ4296" i="2"/>
  <c r="AF4297" i="2"/>
  <c r="AK4297" i="2" s="1"/>
  <c r="AG4297" i="2"/>
  <c r="AH4297" i="2"/>
  <c r="AI4297" i="2"/>
  <c r="AJ4297" i="2"/>
  <c r="AF4298" i="2"/>
  <c r="AK4298" i="2"/>
  <c r="AG4298" i="2"/>
  <c r="AH4298" i="2"/>
  <c r="AI4298" i="2"/>
  <c r="AJ4298" i="2"/>
  <c r="AF4299" i="2"/>
  <c r="AK4299" i="2" s="1"/>
  <c r="AG4299" i="2"/>
  <c r="AH4299" i="2"/>
  <c r="AI4299" i="2"/>
  <c r="AJ4299" i="2"/>
  <c r="AF4300" i="2"/>
  <c r="AK4300" i="2"/>
  <c r="AG4300" i="2"/>
  <c r="AH4300" i="2"/>
  <c r="AI4300" i="2"/>
  <c r="AJ4300" i="2"/>
  <c r="AL4300" i="2" s="1"/>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H4304" i="2"/>
  <c r="AI4304" i="2"/>
  <c r="AJ4304" i="2"/>
  <c r="AF4305" i="2"/>
  <c r="AK4305" i="2" s="1"/>
  <c r="AL4305" i="2" s="1"/>
  <c r="AG4305" i="2"/>
  <c r="AH4305" i="2"/>
  <c r="AI4305" i="2"/>
  <c r="AJ4305" i="2"/>
  <c r="AF4306" i="2"/>
  <c r="AK4306" i="2" s="1"/>
  <c r="AG4306" i="2"/>
  <c r="AH4306" i="2"/>
  <c r="AI4306" i="2"/>
  <c r="AJ4306" i="2"/>
  <c r="AF4307" i="2"/>
  <c r="AK4307" i="2"/>
  <c r="AG4307" i="2"/>
  <c r="AL4307" i="2" s="1"/>
  <c r="AH4307" i="2"/>
  <c r="AI4307" i="2"/>
  <c r="AJ4307" i="2"/>
  <c r="AF4308" i="2"/>
  <c r="AK4308" i="2"/>
  <c r="AG4308" i="2"/>
  <c r="AH4308" i="2"/>
  <c r="AI4308" i="2"/>
  <c r="AJ4308" i="2"/>
  <c r="AF4309" i="2"/>
  <c r="AK4309" i="2"/>
  <c r="AG4309" i="2"/>
  <c r="AL4309" i="2" s="1"/>
  <c r="AH4309" i="2"/>
  <c r="AI4309" i="2"/>
  <c r="AJ4309" i="2"/>
  <c r="AF4310" i="2"/>
  <c r="AK4310" i="2"/>
  <c r="AG4310" i="2"/>
  <c r="AH4310" i="2"/>
  <c r="AI4310" i="2"/>
  <c r="AJ4310" i="2"/>
  <c r="AF4311" i="2"/>
  <c r="AK4311" i="2"/>
  <c r="AG4311" i="2"/>
  <c r="AL4311" i="2" s="1"/>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J4318" i="2"/>
  <c r="AF4319" i="2"/>
  <c r="AK4319" i="2" s="1"/>
  <c r="AG4319" i="2"/>
  <c r="AH4319" i="2"/>
  <c r="AL4319" i="2" s="1"/>
  <c r="AI4319" i="2"/>
  <c r="AJ4319" i="2"/>
  <c r="AF4320" i="2"/>
  <c r="AK4320" i="2"/>
  <c r="AL4320" i="2" s="1"/>
  <c r="AG4320" i="2"/>
  <c r="AH4320" i="2"/>
  <c r="AI4320" i="2"/>
  <c r="AJ4320" i="2"/>
  <c r="AF4321" i="2"/>
  <c r="AK4321" i="2"/>
  <c r="AG4321" i="2"/>
  <c r="AH4321" i="2"/>
  <c r="AI4321" i="2"/>
  <c r="AJ4321" i="2"/>
  <c r="AF4322" i="2"/>
  <c r="AK4322" i="2" s="1"/>
  <c r="AG4322" i="2"/>
  <c r="AH4322" i="2"/>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s="1"/>
  <c r="AL4326" i="2" s="1"/>
  <c r="AG4326" i="2"/>
  <c r="AH4326" i="2"/>
  <c r="AI4326" i="2"/>
  <c r="AJ4326" i="2"/>
  <c r="AF4327" i="2"/>
  <c r="AK4327" i="2" s="1"/>
  <c r="AG4327" i="2"/>
  <c r="AH4327" i="2"/>
  <c r="AI4327" i="2"/>
  <c r="AJ4327" i="2"/>
  <c r="AF4328" i="2"/>
  <c r="AK4328" i="2" s="1"/>
  <c r="AG4328" i="2"/>
  <c r="AH4328" i="2"/>
  <c r="AL4328" i="2" s="1"/>
  <c r="AI4328" i="2"/>
  <c r="AJ4328" i="2"/>
  <c r="AF4329" i="2"/>
  <c r="AK4329" i="2" s="1"/>
  <c r="AG4329" i="2"/>
  <c r="AH4329" i="2"/>
  <c r="AI4329" i="2"/>
  <c r="AJ4329" i="2"/>
  <c r="AF4330" i="2"/>
  <c r="AK4330" i="2" s="1"/>
  <c r="AG4330" i="2"/>
  <c r="AH4330" i="2"/>
  <c r="AI4330" i="2"/>
  <c r="AJ4330" i="2"/>
  <c r="AL4330" i="2" s="1"/>
  <c r="AF4331" i="2"/>
  <c r="AK4331" i="2" s="1"/>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s="1"/>
  <c r="AL4338" i="2" s="1"/>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L4342" i="2" s="1"/>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s="1"/>
  <c r="AG4347" i="2"/>
  <c r="AH4347" i="2"/>
  <c r="AL4347" i="2" s="1"/>
  <c r="AI4347" i="2"/>
  <c r="AJ4347" i="2"/>
  <c r="AF4348" i="2"/>
  <c r="AK4348" i="2"/>
  <c r="AG4348" i="2"/>
  <c r="AH4348" i="2"/>
  <c r="AI4348" i="2"/>
  <c r="AJ4348" i="2"/>
  <c r="AF4349" i="2"/>
  <c r="AK4349" i="2"/>
  <c r="AG4349" i="2"/>
  <c r="AH4349" i="2"/>
  <c r="AL4349" i="2" s="1"/>
  <c r="AI4349" i="2"/>
  <c r="AJ4349" i="2"/>
  <c r="AF4350" i="2"/>
  <c r="AK4350" i="2"/>
  <c r="AG4350" i="2"/>
  <c r="AH4350" i="2"/>
  <c r="AI4350" i="2"/>
  <c r="AJ4350" i="2"/>
  <c r="AF4351" i="2"/>
  <c r="AK4351" i="2"/>
  <c r="AG4351" i="2"/>
  <c r="AH4351" i="2"/>
  <c r="AL4351" i="2" s="1"/>
  <c r="AI4351" i="2"/>
  <c r="AJ4351" i="2"/>
  <c r="AF4352" i="2"/>
  <c r="AK4352" i="2"/>
  <c r="AG4352" i="2"/>
  <c r="AH4352" i="2"/>
  <c r="AI4352" i="2"/>
  <c r="AJ4352" i="2"/>
  <c r="AF4353" i="2"/>
  <c r="AK4353" i="2"/>
  <c r="AG4353" i="2"/>
  <c r="AH4353" i="2"/>
  <c r="AL4353" i="2" s="1"/>
  <c r="AI4353" i="2"/>
  <c r="AJ4353" i="2"/>
  <c r="AF4354" i="2"/>
  <c r="AK4354" i="2"/>
  <c r="AG4354" i="2"/>
  <c r="AH4354" i="2"/>
  <c r="AL4354" i="2" s="1"/>
  <c r="AI4354" i="2"/>
  <c r="AJ4354" i="2"/>
  <c r="AF4355" i="2"/>
  <c r="AK4355" i="2"/>
  <c r="AG4355" i="2"/>
  <c r="AH4355" i="2"/>
  <c r="AI4355" i="2"/>
  <c r="AJ4355" i="2"/>
  <c r="AF4356" i="2"/>
  <c r="AK4356" i="2"/>
  <c r="AG4356" i="2"/>
  <c r="AL4356" i="2"/>
  <c r="AH4356" i="2"/>
  <c r="AI4356" i="2"/>
  <c r="AJ4356" i="2"/>
  <c r="AF4357" i="2"/>
  <c r="AK4357" i="2" s="1"/>
  <c r="AL4357" i="2" s="1"/>
  <c r="AG4357" i="2"/>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s="1"/>
  <c r="AG4361" i="2"/>
  <c r="AL4361" i="2" s="1"/>
  <c r="AH4361" i="2"/>
  <c r="AI4361" i="2"/>
  <c r="AJ4361" i="2"/>
  <c r="AF4362" i="2"/>
  <c r="AK4362" i="2"/>
  <c r="AG4362" i="2"/>
  <c r="AH4362" i="2"/>
  <c r="AI4362" i="2"/>
  <c r="AJ4362" i="2"/>
  <c r="AF4363" i="2"/>
  <c r="AK4363" i="2"/>
  <c r="AL4363" i="2" s="1"/>
  <c r="AG4363" i="2"/>
  <c r="AH4363" i="2"/>
  <c r="AI4363" i="2"/>
  <c r="AJ4363" i="2"/>
  <c r="AF4364" i="2"/>
  <c r="AK4364" i="2"/>
  <c r="AG4364" i="2"/>
  <c r="AL4364" i="2" s="1"/>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s="1"/>
  <c r="AL4370" i="2" s="1"/>
  <c r="AG4370" i="2"/>
  <c r="AH4370" i="2"/>
  <c r="AI4370" i="2"/>
  <c r="AJ4370" i="2"/>
  <c r="AF4371" i="2"/>
  <c r="AK4371" i="2" s="1"/>
  <c r="AG4371" i="2"/>
  <c r="AH4371" i="2"/>
  <c r="AL4371" i="2" s="1"/>
  <c r="AI4371" i="2"/>
  <c r="AJ4371" i="2"/>
  <c r="AF4372" i="2"/>
  <c r="AK4372" i="2"/>
  <c r="AL4372" i="2"/>
  <c r="AG4372" i="2"/>
  <c r="AH4372" i="2"/>
  <c r="AI4372" i="2"/>
  <c r="AJ4372" i="2"/>
  <c r="AF4373" i="2"/>
  <c r="AK4373" i="2"/>
  <c r="AG4373" i="2"/>
  <c r="AL4373" i="2" s="1"/>
  <c r="AH4373" i="2"/>
  <c r="AI4373" i="2"/>
  <c r="AJ4373" i="2"/>
  <c r="AF4374" i="2"/>
  <c r="AK4374" i="2"/>
  <c r="AL4374" i="2" s="1"/>
  <c r="AG4374" i="2"/>
  <c r="AH4374" i="2"/>
  <c r="AI4374" i="2"/>
  <c r="AJ4374" i="2"/>
  <c r="AF4375" i="2"/>
  <c r="AK4375" i="2" s="1"/>
  <c r="AG4375" i="2"/>
  <c r="AH4375" i="2"/>
  <c r="AI4375" i="2"/>
  <c r="AJ4375" i="2"/>
  <c r="AF4376" i="2"/>
  <c r="AK4376" i="2" s="1"/>
  <c r="AG4376" i="2"/>
  <c r="AH4376" i="2"/>
  <c r="AL4376" i="2" s="1"/>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s="1"/>
  <c r="AG4389" i="2"/>
  <c r="AH4389" i="2"/>
  <c r="AL4389" i="2" s="1"/>
  <c r="AI4389" i="2"/>
  <c r="AJ4389" i="2"/>
  <c r="AF4390" i="2"/>
  <c r="AK4390" i="2"/>
  <c r="AG4390" i="2"/>
  <c r="AH4390" i="2"/>
  <c r="AI4390" i="2"/>
  <c r="AJ4390" i="2"/>
  <c r="AF4391" i="2"/>
  <c r="AK4391" i="2"/>
  <c r="AG4391" i="2"/>
  <c r="AH4391" i="2"/>
  <c r="AI4391" i="2"/>
  <c r="AJ4391" i="2"/>
  <c r="AF4392" i="2"/>
  <c r="AK4392" i="2" s="1"/>
  <c r="AG4392" i="2"/>
  <c r="AL4392" i="2" s="1"/>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c r="AG4402" i="2"/>
  <c r="AL4402" i="2" s="1"/>
  <c r="AH4402" i="2"/>
  <c r="AI4402" i="2"/>
  <c r="AJ4402" i="2"/>
  <c r="AF4403" i="2"/>
  <c r="AK4403" i="2"/>
  <c r="AG4403" i="2"/>
  <c r="AH4403" i="2"/>
  <c r="AI4403" i="2"/>
  <c r="AJ4403" i="2"/>
  <c r="AF4404" i="2"/>
  <c r="AK4404" i="2" s="1"/>
  <c r="AG4404" i="2"/>
  <c r="AH4404" i="2"/>
  <c r="AI4404" i="2"/>
  <c r="AJ4404" i="2"/>
  <c r="AF4405" i="2"/>
  <c r="AK4405" i="2" s="1"/>
  <c r="AG4405" i="2"/>
  <c r="AH4405" i="2"/>
  <c r="AI4405" i="2"/>
  <c r="AL4405" i="2" s="1"/>
  <c r="AJ4405" i="2"/>
  <c r="AF4406" i="2"/>
  <c r="AG4406" i="2"/>
  <c r="AH4406" i="2"/>
  <c r="AI4406" i="2"/>
  <c r="AL4406" i="2" s="1"/>
  <c r="AJ4406" i="2"/>
  <c r="AK4406" i="2"/>
  <c r="AF4407" i="2"/>
  <c r="AK4407" i="2"/>
  <c r="AG4407" i="2"/>
  <c r="AH4407" i="2"/>
  <c r="AL4407" i="2" s="1"/>
  <c r="AI4407" i="2"/>
  <c r="AJ4407" i="2"/>
  <c r="AF4408" i="2"/>
  <c r="AK4408" i="2"/>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L4416" i="2" s="1"/>
  <c r="AG4416" i="2"/>
  <c r="AH4416" i="2"/>
  <c r="AI4416" i="2"/>
  <c r="AJ4416" i="2"/>
  <c r="AF4417" i="2"/>
  <c r="AK4417" i="2" s="1"/>
  <c r="AG4417" i="2"/>
  <c r="AH4417" i="2"/>
  <c r="AI4417" i="2"/>
  <c r="AJ4417" i="2"/>
  <c r="AF4418" i="2"/>
  <c r="AK4418" i="2" s="1"/>
  <c r="AG4418" i="2"/>
  <c r="AH4418" i="2"/>
  <c r="AL4418" i="2" s="1"/>
  <c r="AI4418" i="2"/>
  <c r="AJ4418" i="2"/>
  <c r="AF4419" i="2"/>
  <c r="AK4419" i="2" s="1"/>
  <c r="AG4419" i="2"/>
  <c r="AH4419" i="2"/>
  <c r="AI4419" i="2"/>
  <c r="AJ4419" i="2"/>
  <c r="AF4420" i="2"/>
  <c r="AK4420" i="2" s="1"/>
  <c r="AG4420" i="2"/>
  <c r="AH4420" i="2"/>
  <c r="AI4420" i="2"/>
  <c r="AJ4420" i="2"/>
  <c r="AF4421" i="2"/>
  <c r="AK4421" i="2"/>
  <c r="AL4421" i="2"/>
  <c r="AG4421" i="2"/>
  <c r="AH4421" i="2"/>
  <c r="AI4421" i="2"/>
  <c r="AJ4421" i="2"/>
  <c r="AF4422" i="2"/>
  <c r="AK4422" i="2"/>
  <c r="AG4422" i="2"/>
  <c r="AH4422" i="2"/>
  <c r="AL4422" i="2" s="1"/>
  <c r="AI4422" i="2"/>
  <c r="AJ4422" i="2"/>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s="1"/>
  <c r="AG4430" i="2"/>
  <c r="AH4430" i="2"/>
  <c r="AI4430" i="2"/>
  <c r="AJ4430" i="2"/>
  <c r="AF4431" i="2"/>
  <c r="AK4431" i="2" s="1"/>
  <c r="AG4431" i="2"/>
  <c r="AH4431" i="2"/>
  <c r="AI4431" i="2"/>
  <c r="AJ4431" i="2"/>
  <c r="AF4432" i="2"/>
  <c r="AK4432" i="2"/>
  <c r="AG4432" i="2"/>
  <c r="AL4432" i="2" s="1"/>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F4438" i="2"/>
  <c r="AK4438" i="2" s="1"/>
  <c r="AG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c r="AG4448" i="2"/>
  <c r="AH4448" i="2"/>
  <c r="AI4448" i="2"/>
  <c r="AJ4448" i="2"/>
  <c r="AF4449" i="2"/>
  <c r="AK4449" i="2" s="1"/>
  <c r="AG4449" i="2"/>
  <c r="AH4449" i="2"/>
  <c r="AL4449" i="2" s="1"/>
  <c r="AI4449" i="2"/>
  <c r="AJ4449" i="2"/>
  <c r="AF4450" i="2"/>
  <c r="AK4450" i="2" s="1"/>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L4453" i="2" s="1"/>
  <c r="AJ4453" i="2"/>
  <c r="AF4454" i="2"/>
  <c r="AK4454" i="2"/>
  <c r="AG4454" i="2"/>
  <c r="AH4454" i="2"/>
  <c r="AI4454" i="2"/>
  <c r="AJ4454" i="2"/>
  <c r="AF4455" i="2"/>
  <c r="AK4455" i="2"/>
  <c r="AG4455" i="2"/>
  <c r="AH4455" i="2"/>
  <c r="AI4455" i="2"/>
  <c r="AL4455" i="2" s="1"/>
  <c r="AJ4455" i="2"/>
  <c r="AF4456" i="2"/>
  <c r="AK4456" i="2"/>
  <c r="AG4456" i="2"/>
  <c r="AH4456" i="2"/>
  <c r="AI4456" i="2"/>
  <c r="AJ4456" i="2"/>
  <c r="AF4457" i="2"/>
  <c r="AK4457" i="2"/>
  <c r="AG4457" i="2"/>
  <c r="AH4457" i="2"/>
  <c r="AI4457" i="2"/>
  <c r="AJ4457" i="2"/>
  <c r="AF4458" i="2"/>
  <c r="AK4458" i="2" s="1"/>
  <c r="AG4458" i="2"/>
  <c r="AL4458" i="2" s="1"/>
  <c r="AH4458" i="2"/>
  <c r="AI4458" i="2"/>
  <c r="AJ4458" i="2"/>
  <c r="AF4459" i="2"/>
  <c r="AK4459" i="2"/>
  <c r="AG4459" i="2"/>
  <c r="AL4459" i="2" s="1"/>
  <c r="AH4459" i="2"/>
  <c r="AI4459" i="2"/>
  <c r="AJ4459" i="2"/>
  <c r="AF4460" i="2"/>
  <c r="AK4460" i="2"/>
  <c r="AG4460" i="2"/>
  <c r="AL4460" i="2" s="1"/>
  <c r="AH4460" i="2"/>
  <c r="AI4460" i="2"/>
  <c r="AJ4460" i="2"/>
  <c r="AF4461" i="2"/>
  <c r="AK4461" i="2"/>
  <c r="AG4461" i="2"/>
  <c r="AH4461" i="2"/>
  <c r="AI4461" i="2"/>
  <c r="AJ4461" i="2"/>
  <c r="AF4462" i="2"/>
  <c r="AK4462" i="2" s="1"/>
  <c r="AG4462" i="2"/>
  <c r="AH4462" i="2"/>
  <c r="AI4462" i="2"/>
  <c r="AJ4462" i="2"/>
  <c r="AF4463" i="2"/>
  <c r="AK4463" i="2" s="1"/>
  <c r="AG4463" i="2"/>
  <c r="AH4463" i="2"/>
  <c r="AI4463" i="2"/>
  <c r="AJ4463" i="2"/>
  <c r="AF4464" i="2"/>
  <c r="AK4464" i="2" s="1"/>
  <c r="AG4464" i="2"/>
  <c r="AH4464" i="2"/>
  <c r="AI4464" i="2"/>
  <c r="AJ4464" i="2"/>
  <c r="AF4465" i="2"/>
  <c r="AK4465" i="2"/>
  <c r="AG4465" i="2"/>
  <c r="AH4465" i="2"/>
  <c r="AI4465" i="2"/>
  <c r="AJ4465" i="2"/>
  <c r="AF4466" i="2"/>
  <c r="AK4466" i="2" s="1"/>
  <c r="AG4466" i="2"/>
  <c r="AH4466" i="2"/>
  <c r="AI4466" i="2"/>
  <c r="AJ4466" i="2"/>
  <c r="AF4467" i="2"/>
  <c r="AK4467" i="2" s="1"/>
  <c r="AG4467" i="2"/>
  <c r="AH4467" i="2"/>
  <c r="AI4467" i="2"/>
  <c r="AJ4467" i="2"/>
  <c r="AL4467" i="2" s="1"/>
  <c r="AF4468" i="2"/>
  <c r="AK4468" i="2"/>
  <c r="AG4468" i="2"/>
  <c r="AL4468" i="2" s="1"/>
  <c r="AH4468" i="2"/>
  <c r="AI4468" i="2"/>
  <c r="AJ4468" i="2"/>
  <c r="AF4469" i="2"/>
  <c r="AK4469" i="2"/>
  <c r="AG4469" i="2"/>
  <c r="AH4469" i="2"/>
  <c r="AI4469" i="2"/>
  <c r="AJ4469" i="2"/>
  <c r="AF4470" i="2"/>
  <c r="AK4470" i="2"/>
  <c r="AG4470" i="2"/>
  <c r="AH4470" i="2"/>
  <c r="AI4470" i="2"/>
  <c r="AJ4470" i="2"/>
  <c r="AF4471" i="2"/>
  <c r="AK4471" i="2"/>
  <c r="AG4471" i="2"/>
  <c r="AL4471" i="2" s="1"/>
  <c r="AH4471" i="2"/>
  <c r="AI4471" i="2"/>
  <c r="AJ4471" i="2"/>
  <c r="AF4472" i="2"/>
  <c r="AK4472" i="2" s="1"/>
  <c r="AG4472" i="2"/>
  <c r="AH4472" i="2"/>
  <c r="AI4472" i="2"/>
  <c r="AJ4472" i="2"/>
  <c r="AF4473" i="2"/>
  <c r="AK4473" i="2" s="1"/>
  <c r="AG4473" i="2"/>
  <c r="AH4473" i="2"/>
  <c r="AI4473" i="2"/>
  <c r="AL4473" i="2" s="1"/>
  <c r="AJ4473" i="2"/>
  <c r="AF4474" i="2"/>
  <c r="AK4474" i="2"/>
  <c r="AG4474" i="2"/>
  <c r="AL4474" i="2"/>
  <c r="AH4474" i="2"/>
  <c r="AI4474" i="2"/>
  <c r="AJ4474" i="2"/>
  <c r="AF4475" i="2"/>
  <c r="AK4475" i="2" s="1"/>
  <c r="AG4475" i="2"/>
  <c r="AL4475" i="2"/>
  <c r="AH4475" i="2"/>
  <c r="AI4475" i="2"/>
  <c r="AJ4475" i="2"/>
  <c r="AF4476" i="2"/>
  <c r="AK4476" i="2"/>
  <c r="AG4476" i="2"/>
  <c r="AL4476" i="2" s="1"/>
  <c r="AH4476" i="2"/>
  <c r="AI4476" i="2"/>
  <c r="AJ4476" i="2"/>
  <c r="AF4477" i="2"/>
  <c r="AK4477" i="2"/>
  <c r="AG4477" i="2"/>
  <c r="AH4477" i="2"/>
  <c r="AI4477" i="2"/>
  <c r="AJ4477" i="2"/>
  <c r="AF4478" i="2"/>
  <c r="AK4478" i="2" s="1"/>
  <c r="AG4478" i="2"/>
  <c r="AH4478" i="2"/>
  <c r="AL4478" i="2" s="1"/>
  <c r="AI4478" i="2"/>
  <c r="AJ4478" i="2"/>
  <c r="AF4479" i="2"/>
  <c r="AK4479" i="2" s="1"/>
  <c r="AG4479" i="2"/>
  <c r="AH4479" i="2"/>
  <c r="AI4479" i="2"/>
  <c r="AJ4479" i="2"/>
  <c r="AF4480" i="2"/>
  <c r="AK4480" i="2" s="1"/>
  <c r="AG4480" i="2"/>
  <c r="AL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c r="AG4484" i="2"/>
  <c r="AH4484" i="2"/>
  <c r="AL4484" i="2"/>
  <c r="AI4484" i="2"/>
  <c r="AJ4484" i="2"/>
  <c r="AF4485" i="2"/>
  <c r="AK4485" i="2" s="1"/>
  <c r="AL4485" i="2" s="1"/>
  <c r="AG4485" i="2"/>
  <c r="AH4485" i="2"/>
  <c r="AI4485" i="2"/>
  <c r="AJ4485" i="2"/>
  <c r="AF4486" i="2"/>
  <c r="AK4486" i="2" s="1"/>
  <c r="AG4486" i="2"/>
  <c r="AH4486" i="2"/>
  <c r="AI4486" i="2"/>
  <c r="AJ4486" i="2"/>
  <c r="AF4487" i="2"/>
  <c r="AK4487" i="2" s="1"/>
  <c r="AG4487" i="2"/>
  <c r="AH4487" i="2"/>
  <c r="AL4487" i="2" s="1"/>
  <c r="AI4487" i="2"/>
  <c r="AJ4487" i="2"/>
  <c r="AF4488" i="2"/>
  <c r="AK4488" i="2" s="1"/>
  <c r="AG4488" i="2"/>
  <c r="AH4488" i="2"/>
  <c r="AI4488" i="2"/>
  <c r="AJ4488" i="2"/>
  <c r="AF4489" i="2"/>
  <c r="AK4489" i="2"/>
  <c r="AG4489" i="2"/>
  <c r="AH4489" i="2"/>
  <c r="AI4489" i="2"/>
  <c r="AJ4489" i="2"/>
  <c r="AF4490" i="2"/>
  <c r="AK4490" i="2"/>
  <c r="AG4490" i="2"/>
  <c r="AL4490" i="2" s="1"/>
  <c r="AH4490" i="2"/>
  <c r="AI4490" i="2"/>
  <c r="AJ4490" i="2"/>
  <c r="AF4491" i="2"/>
  <c r="AK4491" i="2"/>
  <c r="AG4491" i="2"/>
  <c r="AH4491" i="2"/>
  <c r="AI4491" i="2"/>
  <c r="AJ4491" i="2"/>
  <c r="AF4492" i="2"/>
  <c r="AK4492" i="2" s="1"/>
  <c r="AG4492" i="2"/>
  <c r="AH4492" i="2"/>
  <c r="AI4492" i="2"/>
  <c r="AL4492" i="2"/>
  <c r="AJ4492" i="2"/>
  <c r="AF4493" i="2"/>
  <c r="AK4493" i="2" s="1"/>
  <c r="AG4493" i="2"/>
  <c r="AL4493" i="2" s="1"/>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H4497" i="2"/>
  <c r="AI4497" i="2"/>
  <c r="AJ4497" i="2"/>
  <c r="AF4498" i="2"/>
  <c r="AK4498" i="2" s="1"/>
  <c r="AG4498" i="2"/>
  <c r="AL4498" i="2" s="1"/>
  <c r="AH4498" i="2"/>
  <c r="AI4498" i="2"/>
  <c r="AJ4498" i="2"/>
  <c r="AF4499" i="2"/>
  <c r="AK4499" i="2" s="1"/>
  <c r="AG4499" i="2"/>
  <c r="AL4499" i="2" s="1"/>
  <c r="AH4499" i="2"/>
  <c r="AI4499" i="2"/>
  <c r="AJ4499" i="2"/>
  <c r="AF4500" i="2"/>
  <c r="AK4500" i="2"/>
  <c r="AG4500" i="2"/>
  <c r="AH4500" i="2"/>
  <c r="AI4500" i="2"/>
  <c r="AJ4500" i="2"/>
  <c r="AF4501" i="2"/>
  <c r="AK4501" i="2"/>
  <c r="AG4501" i="2"/>
  <c r="AH4501" i="2"/>
  <c r="AI4501" i="2"/>
  <c r="AJ4501" i="2"/>
  <c r="AF4502" i="2"/>
  <c r="AK4502" i="2"/>
  <c r="AL4502" i="2" s="1"/>
  <c r="AG4502" i="2"/>
  <c r="AH4502" i="2"/>
  <c r="AI4502" i="2"/>
  <c r="AJ4502" i="2"/>
  <c r="AF4503" i="2"/>
  <c r="AK4503" i="2"/>
  <c r="AG4503" i="2"/>
  <c r="AH4503" i="2"/>
  <c r="AI4503" i="2"/>
  <c r="AJ4503" i="2"/>
  <c r="AF4504" i="2"/>
  <c r="AK4504" i="2" s="1"/>
  <c r="AL4504" i="2" s="1"/>
  <c r="AG4504" i="2"/>
  <c r="AH4504" i="2"/>
  <c r="AI4504" i="2"/>
  <c r="AJ4504" i="2"/>
  <c r="AF4505" i="2"/>
  <c r="AK4505" i="2"/>
  <c r="AG4505" i="2"/>
  <c r="AH4505" i="2"/>
  <c r="AI4505" i="2"/>
  <c r="AJ4505" i="2"/>
  <c r="AF4506" i="2"/>
  <c r="AK4506" i="2" s="1"/>
  <c r="AG4506" i="2"/>
  <c r="AH4506" i="2"/>
  <c r="AL4506" i="2" s="1"/>
  <c r="AI4506" i="2"/>
  <c r="AJ4506" i="2"/>
  <c r="AF4507" i="2"/>
  <c r="AK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L4510" i="2" s="1"/>
  <c r="AI4510" i="2"/>
  <c r="AJ4510" i="2"/>
  <c r="AF4511" i="2"/>
  <c r="AK4511" i="2" s="1"/>
  <c r="AG4511" i="2"/>
  <c r="AH4511" i="2"/>
  <c r="AI4511" i="2"/>
  <c r="AJ4511" i="2"/>
  <c r="AF4512" i="2"/>
  <c r="AK4512" i="2"/>
  <c r="AG4512" i="2"/>
  <c r="AH4512" i="2"/>
  <c r="AI4512" i="2"/>
  <c r="AJ4512" i="2"/>
  <c r="AF4513" i="2"/>
  <c r="AK4513" i="2"/>
  <c r="AG4513" i="2"/>
  <c r="AH4513" i="2"/>
  <c r="AI4513" i="2"/>
  <c r="AL4513" i="2" s="1"/>
  <c r="AJ4513" i="2"/>
  <c r="AF4514" i="2"/>
  <c r="AK4514" i="2"/>
  <c r="AG4514" i="2"/>
  <c r="AH4514" i="2"/>
  <c r="AI4514" i="2"/>
  <c r="AJ4514" i="2"/>
  <c r="AL4514" i="2" s="1"/>
  <c r="AF4515" i="2"/>
  <c r="AK4515" i="2" s="1"/>
  <c r="AG4515" i="2"/>
  <c r="AH4515" i="2"/>
  <c r="AI4515" i="2"/>
  <c r="AJ4515" i="2"/>
  <c r="AF4516" i="2"/>
  <c r="AK4516" i="2" s="1"/>
  <c r="AG4516" i="2"/>
  <c r="AH4516" i="2"/>
  <c r="AI4516" i="2"/>
  <c r="AJ4516" i="2"/>
  <c r="AF4517" i="2"/>
  <c r="AK4517" i="2" s="1"/>
  <c r="AG4517" i="2"/>
  <c r="AH4517" i="2"/>
  <c r="AI4517" i="2"/>
  <c r="AJ4517" i="2"/>
  <c r="AF4518" i="2"/>
  <c r="AK4518" i="2" s="1"/>
  <c r="AG4518" i="2"/>
  <c r="AH4518" i="2"/>
  <c r="AI4518" i="2"/>
  <c r="AJ4518" i="2"/>
  <c r="AF4519" i="2"/>
  <c r="AK4519" i="2" s="1"/>
  <c r="AL4519" i="2" s="1"/>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c r="AG4523" i="2"/>
  <c r="AH4523" i="2"/>
  <c r="AL4523" i="2" s="1"/>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c r="AL4528" i="2" s="1"/>
  <c r="AG4528" i="2"/>
  <c r="AH4528" i="2"/>
  <c r="AI4528" i="2"/>
  <c r="AJ4528" i="2"/>
  <c r="AF4529" i="2"/>
  <c r="AK4529" i="2"/>
  <c r="AG4529" i="2"/>
  <c r="AH4529" i="2"/>
  <c r="AI4529" i="2"/>
  <c r="AJ4529" i="2"/>
  <c r="AF4530" i="2"/>
  <c r="AK4530" i="2"/>
  <c r="AG4530" i="2"/>
  <c r="AH4530" i="2"/>
  <c r="AI4530" i="2"/>
  <c r="AJ4530" i="2"/>
  <c r="AF4531" i="2"/>
  <c r="AK4531" i="2" s="1"/>
  <c r="AG4531" i="2"/>
  <c r="AH4531" i="2"/>
  <c r="AI4531" i="2"/>
  <c r="AJ4531" i="2"/>
  <c r="AL4531" i="2" s="1"/>
  <c r="AF4532" i="2"/>
  <c r="AK4532" i="2" s="1"/>
  <c r="AG4532" i="2"/>
  <c r="AL4532" i="2" s="1"/>
  <c r="AH4532" i="2"/>
  <c r="AI4532" i="2"/>
  <c r="AJ4532" i="2"/>
  <c r="AF4533" i="2"/>
  <c r="AK4533" i="2"/>
  <c r="AG4533" i="2"/>
  <c r="AH4533" i="2"/>
  <c r="AI4533" i="2"/>
  <c r="AJ4533" i="2"/>
  <c r="AF4534" i="2"/>
  <c r="AK4534" i="2"/>
  <c r="AG4534" i="2"/>
  <c r="AH4534" i="2"/>
  <c r="AL4534" i="2" s="1"/>
  <c r="AI4534" i="2"/>
  <c r="AJ4534" i="2"/>
  <c r="AF4535" i="2"/>
  <c r="AK4535" i="2" s="1"/>
  <c r="AG4535" i="2"/>
  <c r="AH4535" i="2"/>
  <c r="AI4535" i="2"/>
  <c r="AJ4535" i="2"/>
  <c r="AL4535" i="2"/>
  <c r="AF4536" i="2"/>
  <c r="AK4536" i="2"/>
  <c r="AG4536" i="2"/>
  <c r="AL4536" i="2" s="1"/>
  <c r="AH4536" i="2"/>
  <c r="AI4536" i="2"/>
  <c r="AJ4536" i="2"/>
  <c r="AF4537" i="2"/>
  <c r="AK4537" i="2"/>
  <c r="AG4537" i="2"/>
  <c r="AH4537" i="2"/>
  <c r="AI4537" i="2"/>
  <c r="AL4537" i="2" s="1"/>
  <c r="AJ4537" i="2"/>
  <c r="AF4538" i="2"/>
  <c r="AK4538" i="2"/>
  <c r="AG4538" i="2"/>
  <c r="AH4538" i="2"/>
  <c r="AI4538" i="2"/>
  <c r="AJ4538" i="2"/>
  <c r="AF4539" i="2"/>
  <c r="AK4539" i="2" s="1"/>
  <c r="AL4539" i="2" s="1"/>
  <c r="AG4539" i="2"/>
  <c r="AH4539" i="2"/>
  <c r="AI4539" i="2"/>
  <c r="AJ4539" i="2"/>
  <c r="AF4540" i="2"/>
  <c r="AK4540" i="2" s="1"/>
  <c r="AG4540" i="2"/>
  <c r="AL4540" i="2" s="1"/>
  <c r="AH4540" i="2"/>
  <c r="AI4540" i="2"/>
  <c r="AJ4540" i="2"/>
  <c r="AF4541" i="2"/>
  <c r="AK4541" i="2"/>
  <c r="AG4541" i="2"/>
  <c r="AH4541" i="2"/>
  <c r="AI4541" i="2"/>
  <c r="AJ4541" i="2"/>
  <c r="AF4542" i="2"/>
  <c r="AK4542" i="2"/>
  <c r="AG4542" i="2"/>
  <c r="AL4542" i="2" s="1"/>
  <c r="AH4542" i="2"/>
  <c r="AI4542" i="2"/>
  <c r="AJ4542" i="2"/>
  <c r="AF4543" i="2"/>
  <c r="AK4543" i="2" s="1"/>
  <c r="AG4543" i="2"/>
  <c r="AH4543" i="2"/>
  <c r="AI4543" i="2"/>
  <c r="AJ4543" i="2"/>
  <c r="AF4544" i="2"/>
  <c r="AK4544" i="2" s="1"/>
  <c r="AL4544" i="2" s="1"/>
  <c r="AG4544" i="2"/>
  <c r="AH4544" i="2"/>
  <c r="AI4544" i="2"/>
  <c r="AJ4544" i="2"/>
  <c r="AF4545" i="2"/>
  <c r="AK4545" i="2"/>
  <c r="AG4545" i="2"/>
  <c r="AH4545" i="2"/>
  <c r="AI4545" i="2"/>
  <c r="AJ4545" i="2"/>
  <c r="AF4546" i="2"/>
  <c r="AK4546" i="2"/>
  <c r="AL4546" i="2" s="1"/>
  <c r="AG4546" i="2"/>
  <c r="AH4546" i="2"/>
  <c r="AI4546" i="2"/>
  <c r="AJ4546" i="2"/>
  <c r="AF4547" i="2"/>
  <c r="AK4547" i="2"/>
  <c r="AG4547" i="2"/>
  <c r="AH4547" i="2"/>
  <c r="AI4547" i="2"/>
  <c r="AJ4547" i="2"/>
  <c r="AL4547" i="2" s="1"/>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L4552" i="2" s="1"/>
  <c r="AI4552" i="2"/>
  <c r="AJ4552" i="2"/>
  <c r="AF4553" i="2"/>
  <c r="AK4553" i="2" s="1"/>
  <c r="AL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L4559" i="2" s="1"/>
  <c r="AI4559" i="2"/>
  <c r="AJ4559" i="2"/>
  <c r="AF4560" i="2"/>
  <c r="AK4560" i="2"/>
  <c r="AG4560" i="2"/>
  <c r="AL4560" i="2" s="1"/>
  <c r="AH4560" i="2"/>
  <c r="AI4560" i="2"/>
  <c r="AJ4560" i="2"/>
  <c r="AF4561" i="2"/>
  <c r="AK4561" i="2" s="1"/>
  <c r="AG4561" i="2"/>
  <c r="AL4561" i="2"/>
  <c r="AH4561" i="2"/>
  <c r="AI4561" i="2"/>
  <c r="AJ4561" i="2"/>
  <c r="AF4562" i="2"/>
  <c r="AK4562" i="2"/>
  <c r="AG4562" i="2"/>
  <c r="AL4562" i="2" s="1"/>
  <c r="AH4562" i="2"/>
  <c r="AI4562" i="2"/>
  <c r="AJ4562" i="2"/>
  <c r="AF4563" i="2"/>
  <c r="AK4563" i="2" s="1"/>
  <c r="AL4563" i="2" s="1"/>
  <c r="AG4563" i="2"/>
  <c r="AH4563" i="2"/>
  <c r="AI4563" i="2"/>
  <c r="AJ4563" i="2"/>
  <c r="AF4564" i="2"/>
  <c r="AK4564" i="2"/>
  <c r="AG4564" i="2"/>
  <c r="AL4564" i="2" s="1"/>
  <c r="AH4564" i="2"/>
  <c r="AI4564" i="2"/>
  <c r="AJ4564" i="2"/>
  <c r="AF4565" i="2"/>
  <c r="AK4565" i="2" s="1"/>
  <c r="AG4565" i="2"/>
  <c r="AH4565" i="2"/>
  <c r="AL4565" i="2" s="1"/>
  <c r="AI4565" i="2"/>
  <c r="AJ4565" i="2"/>
  <c r="AF4566" i="2"/>
  <c r="AK4566" i="2" s="1"/>
  <c r="AG4566" i="2"/>
  <c r="AH4566" i="2"/>
  <c r="AI4566" i="2"/>
  <c r="AJ4566" i="2"/>
  <c r="AF4567" i="2"/>
  <c r="AK4567" i="2" s="1"/>
  <c r="AL4567" i="2" s="1"/>
  <c r="AG4567" i="2"/>
  <c r="AH4567" i="2"/>
  <c r="AI4567" i="2"/>
  <c r="AJ4567" i="2"/>
  <c r="AF4568" i="2"/>
  <c r="AK4568" i="2" s="1"/>
  <c r="AL4568" i="2"/>
  <c r="AG4568" i="2"/>
  <c r="AH4568" i="2"/>
  <c r="AI4568" i="2"/>
  <c r="AJ4568" i="2"/>
  <c r="AF4569" i="2"/>
  <c r="AK4569" i="2"/>
  <c r="AG4569" i="2"/>
  <c r="AH4569" i="2"/>
  <c r="AI4569" i="2"/>
  <c r="AJ4569" i="2"/>
  <c r="AF4570" i="2"/>
  <c r="AK4570" i="2" s="1"/>
  <c r="AG4570" i="2"/>
  <c r="AL4570" i="2" s="1"/>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L4574" i="2" s="1"/>
  <c r="AG4574" i="2"/>
  <c r="AH4574" i="2"/>
  <c r="AI4574" i="2"/>
  <c r="AJ4574" i="2"/>
  <c r="AF4575" i="2"/>
  <c r="AK4575" i="2"/>
  <c r="AG4575" i="2"/>
  <c r="AH4575" i="2"/>
  <c r="AI4575" i="2"/>
  <c r="AJ4575" i="2"/>
  <c r="AF4576" i="2"/>
  <c r="AK4576" i="2"/>
  <c r="AL4576" i="2" s="1"/>
  <c r="AG4576" i="2"/>
  <c r="AH4576" i="2"/>
  <c r="AI4576" i="2"/>
  <c r="AJ4576" i="2"/>
  <c r="AF4577" i="2"/>
  <c r="AK4577" i="2"/>
  <c r="AG4577" i="2"/>
  <c r="AH4577" i="2"/>
  <c r="AI4577" i="2"/>
  <c r="AJ4577" i="2"/>
  <c r="AF4578" i="2"/>
  <c r="AK4578" i="2"/>
  <c r="AG4578" i="2"/>
  <c r="AH4578" i="2"/>
  <c r="AI4578" i="2"/>
  <c r="AJ4578" i="2"/>
  <c r="AF4579" i="2"/>
  <c r="AK4579" i="2"/>
  <c r="AG4579" i="2"/>
  <c r="AH4579" i="2"/>
  <c r="AI4579" i="2"/>
  <c r="AL4579" i="2" s="1"/>
  <c r="AJ4579" i="2"/>
  <c r="AF4580" i="2"/>
  <c r="AK4580" i="2"/>
  <c r="AG4580" i="2"/>
  <c r="AH4580" i="2"/>
  <c r="AI4580" i="2"/>
  <c r="AJ4580" i="2"/>
  <c r="AF4581" i="2"/>
  <c r="AK4581" i="2"/>
  <c r="AG4581" i="2"/>
  <c r="AH4581" i="2"/>
  <c r="AI4581" i="2"/>
  <c r="AL4581" i="2" s="1"/>
  <c r="AJ4581" i="2"/>
  <c r="AF4582" i="2"/>
  <c r="AK4582" i="2"/>
  <c r="AL4582" i="2" s="1"/>
  <c r="AG4582" i="2"/>
  <c r="AH4582" i="2"/>
  <c r="AI4582" i="2"/>
  <c r="AJ4582" i="2"/>
  <c r="AF4583" i="2"/>
  <c r="AK4583" i="2"/>
  <c r="AG4583" i="2"/>
  <c r="AH4583" i="2"/>
  <c r="AI4583" i="2"/>
  <c r="AL4583" i="2" s="1"/>
  <c r="AJ4583" i="2"/>
  <c r="AF4584" i="2"/>
  <c r="AK4584" i="2"/>
  <c r="AG4584" i="2"/>
  <c r="AH4584" i="2"/>
  <c r="AI4584" i="2"/>
  <c r="AJ4584" i="2"/>
  <c r="AF4585" i="2"/>
  <c r="AK4585" i="2" s="1"/>
  <c r="AG4585" i="2"/>
  <c r="AH4585" i="2"/>
  <c r="AI4585" i="2"/>
  <c r="AJ4585" i="2"/>
  <c r="AF4586" i="2"/>
  <c r="AK4586" i="2" s="1"/>
  <c r="AG4586" i="2"/>
  <c r="AH4586" i="2"/>
  <c r="AI4586" i="2"/>
  <c r="AJ4586" i="2"/>
  <c r="AF4587" i="2"/>
  <c r="AK4587" i="2" s="1"/>
  <c r="AG4587" i="2"/>
  <c r="AH4587" i="2"/>
  <c r="AI4587" i="2"/>
  <c r="AJ4587" i="2"/>
  <c r="AF4588" i="2"/>
  <c r="AK4588" i="2" s="1"/>
  <c r="AG4588" i="2"/>
  <c r="AH4588" i="2"/>
  <c r="AI4588" i="2"/>
  <c r="AJ4588" i="2"/>
  <c r="AF4589" i="2"/>
  <c r="AK4589" i="2" s="1"/>
  <c r="AG4589" i="2"/>
  <c r="AH4589" i="2"/>
  <c r="AL4589" i="2" s="1"/>
  <c r="AI4589" i="2"/>
  <c r="AJ4589" i="2"/>
  <c r="AF4590" i="2"/>
  <c r="AK4590" i="2"/>
  <c r="AG4590" i="2"/>
  <c r="AH4590" i="2"/>
  <c r="AL4590" i="2" s="1"/>
  <c r="AI4590" i="2"/>
  <c r="AJ4590" i="2"/>
  <c r="AF4591" i="2"/>
  <c r="AK4591" i="2" s="1"/>
  <c r="AG4591" i="2"/>
  <c r="AH4591" i="2"/>
  <c r="AI4591" i="2"/>
  <c r="AJ4591" i="2"/>
  <c r="AF4592" i="2"/>
  <c r="AK4592" i="2" s="1"/>
  <c r="AG4592" i="2"/>
  <c r="AH4592" i="2"/>
  <c r="AI4592" i="2"/>
  <c r="AJ4592" i="2"/>
  <c r="AF4593" i="2"/>
  <c r="AK4593" i="2" s="1"/>
  <c r="AL4593" i="2"/>
  <c r="AG4593" i="2"/>
  <c r="AH4593" i="2"/>
  <c r="AI4593" i="2"/>
  <c r="AJ4593" i="2"/>
  <c r="AF4594" i="2"/>
  <c r="AK4594" i="2"/>
  <c r="AG4594" i="2"/>
  <c r="AH4594" i="2"/>
  <c r="AI4594" i="2"/>
  <c r="AJ4594" i="2"/>
  <c r="AF4595" i="2"/>
  <c r="AK4595" i="2"/>
  <c r="AG4595" i="2"/>
  <c r="AL4595" i="2" s="1"/>
  <c r="AH4595" i="2"/>
  <c r="AI4595" i="2"/>
  <c r="AJ4595" i="2"/>
  <c r="AF4596" i="2"/>
  <c r="AK4596" i="2"/>
  <c r="AG4596" i="2"/>
  <c r="AH4596" i="2"/>
  <c r="AI4596" i="2"/>
  <c r="AJ4596" i="2"/>
  <c r="AF4597" i="2"/>
  <c r="AK4597" i="2" s="1"/>
  <c r="AL4597" i="2" s="1"/>
  <c r="AG4597" i="2"/>
  <c r="AH4597" i="2"/>
  <c r="AI4597" i="2"/>
  <c r="AJ4597" i="2"/>
  <c r="AF4598" i="2"/>
  <c r="AK4598" i="2" s="1"/>
  <c r="AG4598" i="2"/>
  <c r="AH4598" i="2"/>
  <c r="AI4598" i="2"/>
  <c r="AL4598" i="2"/>
  <c r="AJ4598" i="2"/>
  <c r="AF4599" i="2"/>
  <c r="AK4599" i="2" s="1"/>
  <c r="AG4599" i="2"/>
  <c r="AL4599" i="2" s="1"/>
  <c r="AH4599" i="2"/>
  <c r="AI4599" i="2"/>
  <c r="AJ4599" i="2"/>
  <c r="AF4600" i="2"/>
  <c r="AK4600" i="2" s="1"/>
  <c r="AG4600" i="2"/>
  <c r="AH4600" i="2"/>
  <c r="AL4600" i="2" s="1"/>
  <c r="AI4600" i="2"/>
  <c r="AJ4600" i="2"/>
  <c r="AF4601" i="2"/>
  <c r="AK4601" i="2"/>
  <c r="AG4601" i="2"/>
  <c r="AH4601" i="2"/>
  <c r="AI4601" i="2"/>
  <c r="AJ4601" i="2"/>
  <c r="AF4602" i="2"/>
  <c r="AK4602" i="2"/>
  <c r="AG4602" i="2"/>
  <c r="AL4602" i="2"/>
  <c r="AH4602" i="2"/>
  <c r="AI4602" i="2"/>
  <c r="AJ4602" i="2"/>
  <c r="AF4603" i="2"/>
  <c r="AK4603" i="2" s="1"/>
  <c r="AG4603" i="2"/>
  <c r="AL4603" i="2" s="1"/>
  <c r="AH4603" i="2"/>
  <c r="AI4603" i="2"/>
  <c r="AJ4603" i="2"/>
  <c r="AF4604" i="2"/>
  <c r="AK4604" i="2"/>
  <c r="AG4604" i="2"/>
  <c r="AH4604" i="2"/>
  <c r="AI4604" i="2"/>
  <c r="AJ4604" i="2"/>
  <c r="AL4604" i="2" s="1"/>
  <c r="AF4605" i="2"/>
  <c r="AK4605" i="2"/>
  <c r="AG4605" i="2"/>
  <c r="AL4605" i="2" s="1"/>
  <c r="AH4605" i="2"/>
  <c r="AI4605" i="2"/>
  <c r="AJ4605" i="2"/>
  <c r="AF4606" i="2"/>
  <c r="AK4606" i="2"/>
  <c r="AG4606" i="2"/>
  <c r="AL4606" i="2" s="1"/>
  <c r="AH4606" i="2"/>
  <c r="AI4606" i="2"/>
  <c r="AJ4606" i="2"/>
  <c r="AF4607" i="2"/>
  <c r="AK4607" i="2"/>
  <c r="AG4607" i="2"/>
  <c r="AL4607" i="2" s="1"/>
  <c r="AH4607" i="2"/>
  <c r="AI4607" i="2"/>
  <c r="AJ4607" i="2"/>
  <c r="AF4608" i="2"/>
  <c r="AK4608" i="2" s="1"/>
  <c r="AG4608" i="2"/>
  <c r="AH4608" i="2"/>
  <c r="AI4608" i="2"/>
  <c r="AJ4608" i="2"/>
  <c r="AF4609" i="2"/>
  <c r="AK4609" i="2" s="1"/>
  <c r="AG4609" i="2"/>
  <c r="AH4609" i="2"/>
  <c r="AI4609" i="2"/>
  <c r="AL4609" i="2" s="1"/>
  <c r="AJ4609" i="2"/>
  <c r="AF4610" i="2"/>
  <c r="AK4610" i="2" s="1"/>
  <c r="AG4610" i="2"/>
  <c r="AL4610" i="2" s="1"/>
  <c r="AH4610" i="2"/>
  <c r="AI4610" i="2"/>
  <c r="AJ4610" i="2"/>
  <c r="AF4611" i="2"/>
  <c r="AK4611" i="2"/>
  <c r="AG4611" i="2"/>
  <c r="AH4611" i="2"/>
  <c r="AI4611" i="2"/>
  <c r="AJ4611" i="2"/>
  <c r="AF4612" i="2"/>
  <c r="AK4612" i="2"/>
  <c r="AG4612" i="2"/>
  <c r="AH4612" i="2"/>
  <c r="AL4612" i="2" s="1"/>
  <c r="AI4612" i="2"/>
  <c r="AJ4612" i="2"/>
  <c r="AF4613" i="2"/>
  <c r="AK4613" i="2" s="1"/>
  <c r="AG4613" i="2"/>
  <c r="AH4613" i="2"/>
  <c r="AL4613" i="2" s="1"/>
  <c r="AI4613" i="2"/>
  <c r="AJ4613" i="2"/>
  <c r="AF4614" i="2"/>
  <c r="AK4614" i="2"/>
  <c r="AG4614" i="2"/>
  <c r="AH4614" i="2"/>
  <c r="AI4614" i="2"/>
  <c r="AJ4614" i="2"/>
  <c r="AF4615" i="2"/>
  <c r="AK4615" i="2"/>
  <c r="AG4615" i="2"/>
  <c r="AL4615" i="2" s="1"/>
  <c r="AH4615" i="2"/>
  <c r="AI4615" i="2"/>
  <c r="AJ4615" i="2"/>
  <c r="AF4616" i="2"/>
  <c r="AK4616" i="2"/>
  <c r="AG4616" i="2"/>
  <c r="AL4616" i="2" s="1"/>
  <c r="AH4616" i="2"/>
  <c r="AI4616" i="2"/>
  <c r="AJ4616" i="2"/>
  <c r="AF4617" i="2"/>
  <c r="AK4617" i="2" s="1"/>
  <c r="AL4617" i="2" s="1"/>
  <c r="AG4617" i="2"/>
  <c r="AH4617" i="2"/>
  <c r="AI4617" i="2"/>
  <c r="AJ4617" i="2"/>
  <c r="AF4618" i="2"/>
  <c r="AK4618" i="2"/>
  <c r="AG4618" i="2"/>
  <c r="AH4618" i="2"/>
  <c r="AL4618" i="2"/>
  <c r="AI4618" i="2"/>
  <c r="AJ4618" i="2"/>
  <c r="AF4619" i="2"/>
  <c r="AK4619" i="2" s="1"/>
  <c r="AG4619" i="2"/>
  <c r="AH4619" i="2"/>
  <c r="AI4619" i="2"/>
  <c r="AJ4619" i="2"/>
  <c r="AF4620" i="2"/>
  <c r="AK4620" i="2" s="1"/>
  <c r="AG4620" i="2"/>
  <c r="AH4620" i="2"/>
  <c r="AL4620" i="2" s="1"/>
  <c r="AI4620" i="2"/>
  <c r="AJ4620" i="2"/>
  <c r="AF4621" i="2"/>
  <c r="AK4621" i="2" s="1"/>
  <c r="AG4621" i="2"/>
  <c r="AH4621" i="2"/>
  <c r="AI4621" i="2"/>
  <c r="AJ4621" i="2"/>
  <c r="AF4622" i="2"/>
  <c r="AK4622" i="2"/>
  <c r="AL4622" i="2" s="1"/>
  <c r="AG4622" i="2"/>
  <c r="AH4622" i="2"/>
  <c r="AI4622" i="2"/>
  <c r="AJ4622" i="2"/>
  <c r="AF4623" i="2"/>
  <c r="AK4623" i="2" s="1"/>
  <c r="AG4623" i="2"/>
  <c r="AH4623" i="2"/>
  <c r="AI4623" i="2"/>
  <c r="AJ4623" i="2"/>
  <c r="AF4624" i="2"/>
  <c r="AK4624" i="2" s="1"/>
  <c r="AG4624" i="2"/>
  <c r="AL4624" i="2" s="1"/>
  <c r="AH4624" i="2"/>
  <c r="AI4624" i="2"/>
  <c r="AJ4624" i="2"/>
  <c r="AF4625" i="2"/>
  <c r="AK4625" i="2" s="1"/>
  <c r="AG4625" i="2"/>
  <c r="AH4625" i="2"/>
  <c r="AI4625" i="2"/>
  <c r="AJ4625" i="2"/>
  <c r="AL4625" i="2" s="1"/>
  <c r="AF4626" i="2"/>
  <c r="AK4626" i="2"/>
  <c r="AG4626" i="2"/>
  <c r="AL4626" i="2" s="1"/>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L4630" i="2" s="1"/>
  <c r="AH4630" i="2"/>
  <c r="AI4630" i="2"/>
  <c r="AJ4630" i="2"/>
  <c r="AF4631" i="2"/>
  <c r="AK4631" i="2"/>
  <c r="AG4631" i="2"/>
  <c r="AH4631" i="2"/>
  <c r="AL4631" i="2" s="1"/>
  <c r="AI4631" i="2"/>
  <c r="AJ4631" i="2"/>
  <c r="AF4632" i="2"/>
  <c r="AK4632" i="2" s="1"/>
  <c r="AG4632" i="2"/>
  <c r="AH4632" i="2"/>
  <c r="AI4632" i="2"/>
  <c r="AJ4632" i="2"/>
  <c r="AF4633" i="2"/>
  <c r="AK4633" i="2" s="1"/>
  <c r="AG4633" i="2"/>
  <c r="AH4633" i="2"/>
  <c r="AI4633" i="2"/>
  <c r="AJ4633" i="2"/>
  <c r="AF4634" i="2"/>
  <c r="AK4634" i="2" s="1"/>
  <c r="AG4634" i="2"/>
  <c r="AH4634" i="2"/>
  <c r="AI4634" i="2"/>
  <c r="AJ4634" i="2"/>
  <c r="AF4635" i="2"/>
  <c r="AK4635" i="2"/>
  <c r="AL4635" i="2" s="1"/>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G4639" i="2"/>
  <c r="AH4639" i="2"/>
  <c r="AI4639" i="2"/>
  <c r="AJ4639" i="2"/>
  <c r="AF4640" i="2"/>
  <c r="AK4640" i="2" s="1"/>
  <c r="AG4640" i="2"/>
  <c r="AH4640" i="2"/>
  <c r="AI4640" i="2"/>
  <c r="AJ4640" i="2"/>
  <c r="AF4641" i="2"/>
  <c r="AK4641" i="2" s="1"/>
  <c r="AL4641" i="2" s="1"/>
  <c r="AG4641" i="2"/>
  <c r="AH4641" i="2"/>
  <c r="AI4641" i="2"/>
  <c r="AJ4641" i="2"/>
  <c r="AF4642" i="2"/>
  <c r="AK4642" i="2"/>
  <c r="AG4642" i="2"/>
  <c r="AH4642" i="2"/>
  <c r="AL4642" i="2" s="1"/>
  <c r="AI4642" i="2"/>
  <c r="AJ4642" i="2"/>
  <c r="AF4643" i="2"/>
  <c r="AK4643" i="2" s="1"/>
  <c r="AG4643" i="2"/>
  <c r="AH4643" i="2"/>
  <c r="AI4643" i="2"/>
  <c r="AJ4643" i="2"/>
  <c r="AF4644" i="2"/>
  <c r="AK4644" i="2" s="1"/>
  <c r="AG4644" i="2"/>
  <c r="AH4644" i="2"/>
  <c r="AI4644" i="2"/>
  <c r="AJ4644" i="2"/>
  <c r="AF4645" i="2"/>
  <c r="AK4645" i="2" s="1"/>
  <c r="AL4645" i="2" s="1"/>
  <c r="AG4645" i="2"/>
  <c r="AH4645" i="2"/>
  <c r="AI4645" i="2"/>
  <c r="AJ4645" i="2"/>
  <c r="AF4646" i="2"/>
  <c r="AK4646" i="2" s="1"/>
  <c r="AG4646" i="2"/>
  <c r="AL4646" i="2" s="1"/>
  <c r="AH4646" i="2"/>
  <c r="AI4646" i="2"/>
  <c r="AJ4646" i="2"/>
  <c r="AF4647" i="2"/>
  <c r="AK4647" i="2"/>
  <c r="AG4647" i="2"/>
  <c r="AH4647" i="2"/>
  <c r="AI4647" i="2"/>
  <c r="AJ4647" i="2"/>
  <c r="AF4648" i="2"/>
  <c r="AK4648" i="2"/>
  <c r="AG4648" i="2"/>
  <c r="AH4648" i="2"/>
  <c r="AI4648" i="2"/>
  <c r="AJ4648" i="2"/>
  <c r="AF4649" i="2"/>
  <c r="AK4649" i="2"/>
  <c r="AG4649" i="2"/>
  <c r="AH4649" i="2"/>
  <c r="AI4649" i="2"/>
  <c r="AL4649" i="2" s="1"/>
  <c r="AJ4649" i="2"/>
  <c r="AF4650" i="2"/>
  <c r="AK4650" i="2"/>
  <c r="AG4650" i="2"/>
  <c r="AH4650" i="2"/>
  <c r="AI4650" i="2"/>
  <c r="AJ4650" i="2"/>
  <c r="AF4651" i="2"/>
  <c r="AK4651" i="2"/>
  <c r="AG4651" i="2"/>
  <c r="AH4651" i="2"/>
  <c r="AI4651" i="2"/>
  <c r="AJ4651" i="2"/>
  <c r="AF4652" i="2"/>
  <c r="AK4652" i="2" s="1"/>
  <c r="AG4652" i="2"/>
  <c r="AH4652" i="2"/>
  <c r="AI4652" i="2"/>
  <c r="AJ4652" i="2"/>
  <c r="AF4653" i="2"/>
  <c r="AK4653" i="2" s="1"/>
  <c r="AG4653" i="2"/>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L4658" i="2" s="1"/>
  <c r="AH4658" i="2"/>
  <c r="AI4658" i="2"/>
  <c r="AJ4658" i="2"/>
  <c r="AF4659" i="2"/>
  <c r="AK4659" i="2"/>
  <c r="AG4659" i="2"/>
  <c r="AH4659" i="2"/>
  <c r="AI4659" i="2"/>
  <c r="AJ4659" i="2"/>
  <c r="AL4659" i="2" s="1"/>
  <c r="AF4660" i="2"/>
  <c r="AK4660" i="2"/>
  <c r="AL4660" i="2"/>
  <c r="AG4660" i="2"/>
  <c r="AH4660" i="2"/>
  <c r="AI4660" i="2"/>
  <c r="AJ4660" i="2"/>
  <c r="AF4661" i="2"/>
  <c r="AK4661" i="2"/>
  <c r="AG4661" i="2"/>
  <c r="AH4661" i="2"/>
  <c r="AI4661" i="2"/>
  <c r="AJ4661" i="2"/>
  <c r="AF4662" i="2"/>
  <c r="AK4662" i="2" s="1"/>
  <c r="AG4662" i="2"/>
  <c r="AL4662" i="2" s="1"/>
  <c r="AH4662" i="2"/>
  <c r="AI4662" i="2"/>
  <c r="AJ4662" i="2"/>
  <c r="AF4663" i="2"/>
  <c r="AK4663" i="2" s="1"/>
  <c r="AG4663" i="2"/>
  <c r="AH4663" i="2"/>
  <c r="AI4663" i="2"/>
  <c r="AJ4663" i="2"/>
  <c r="AF4664" i="2"/>
  <c r="AK4664" i="2" s="1"/>
  <c r="AG4664" i="2"/>
  <c r="AH4664" i="2"/>
  <c r="AI4664" i="2"/>
  <c r="AL4664" i="2" s="1"/>
  <c r="AJ4664" i="2"/>
  <c r="AF4665" i="2"/>
  <c r="AK4665" i="2" s="1"/>
  <c r="AG4665" i="2"/>
  <c r="AH4665" i="2"/>
  <c r="AI4665" i="2"/>
  <c r="AJ4665" i="2"/>
  <c r="AF4666" i="2"/>
  <c r="AK4666" i="2" s="1"/>
  <c r="AG4666" i="2"/>
  <c r="AH4666" i="2"/>
  <c r="AI4666" i="2"/>
  <c r="AJ4666" i="2"/>
  <c r="AF4667" i="2"/>
  <c r="AK4667" i="2"/>
  <c r="AG4667" i="2"/>
  <c r="AH4667" i="2"/>
  <c r="AI4667" i="2"/>
  <c r="AJ4667" i="2"/>
  <c r="AF4668" i="2"/>
  <c r="AK4668" i="2" s="1"/>
  <c r="AG4668" i="2"/>
  <c r="AH4668" i="2"/>
  <c r="AI4668" i="2"/>
  <c r="AJ4668" i="2"/>
  <c r="AF4669" i="2"/>
  <c r="AK4669" i="2" s="1"/>
  <c r="AG4669" i="2"/>
  <c r="AL4669" i="2"/>
  <c r="AH4669" i="2"/>
  <c r="AI4669" i="2"/>
  <c r="AJ4669" i="2"/>
  <c r="AF4670" i="2"/>
  <c r="AK4670" i="2"/>
  <c r="AG4670" i="2"/>
  <c r="AH4670" i="2"/>
  <c r="AI4670" i="2"/>
  <c r="AJ4670" i="2"/>
  <c r="AF4671" i="2"/>
  <c r="AK4671" i="2"/>
  <c r="AG4671" i="2"/>
  <c r="AH4671" i="2"/>
  <c r="AI4671" i="2"/>
  <c r="AJ4671" i="2"/>
  <c r="AF4672" i="2"/>
  <c r="AK4672" i="2"/>
  <c r="AG4672" i="2"/>
  <c r="AH4672" i="2"/>
  <c r="AI4672" i="2"/>
  <c r="AJ4672" i="2"/>
  <c r="AF4673" i="2"/>
  <c r="AK4673" i="2"/>
  <c r="AG4673" i="2"/>
  <c r="AH4673" i="2"/>
  <c r="AI4673" i="2"/>
  <c r="AJ4673" i="2"/>
  <c r="AF4674" i="2"/>
  <c r="AK4674" i="2" s="1"/>
  <c r="AL4674" i="2" s="1"/>
  <c r="AG4674" i="2"/>
  <c r="AH4674" i="2"/>
  <c r="AI4674" i="2"/>
  <c r="AJ4674" i="2"/>
  <c r="AF4675" i="2"/>
  <c r="AK4675" i="2" s="1"/>
  <c r="AG4675" i="2"/>
  <c r="AL4675" i="2" s="1"/>
  <c r="AH4675" i="2"/>
  <c r="AI4675" i="2"/>
  <c r="AJ4675" i="2"/>
  <c r="AF4676" i="2"/>
  <c r="AK4676" i="2" s="1"/>
  <c r="AG4676" i="2"/>
  <c r="AL4676" i="2" s="1"/>
  <c r="AH4676" i="2"/>
  <c r="AI4676" i="2"/>
  <c r="AJ4676" i="2"/>
  <c r="AF4677" i="2"/>
  <c r="AK4677" i="2"/>
  <c r="AG4677" i="2"/>
  <c r="AH4677" i="2"/>
  <c r="AL4677" i="2" s="1"/>
  <c r="AI4677" i="2"/>
  <c r="AJ4677" i="2"/>
  <c r="AF4678" i="2"/>
  <c r="AK4678" i="2"/>
  <c r="AG4678" i="2"/>
  <c r="AH4678" i="2"/>
  <c r="AI4678" i="2"/>
  <c r="AJ4678" i="2"/>
  <c r="AF4679" i="2"/>
  <c r="AK4679" i="2"/>
  <c r="AG4679" i="2"/>
  <c r="AH4679" i="2"/>
  <c r="AL4679" i="2" s="1"/>
  <c r="AI4679" i="2"/>
  <c r="AJ4679" i="2"/>
  <c r="AF4680" i="2"/>
  <c r="AK4680" i="2"/>
  <c r="AG4680" i="2"/>
  <c r="AH4680" i="2"/>
  <c r="AL4680" i="2" s="1"/>
  <c r="AI4680" i="2"/>
  <c r="AJ4680" i="2"/>
  <c r="AF4681" i="2"/>
  <c r="AK4681" i="2" s="1"/>
  <c r="AG4681" i="2"/>
  <c r="AH4681" i="2"/>
  <c r="AI4681" i="2"/>
  <c r="AJ4681" i="2"/>
  <c r="AF4682" i="2"/>
  <c r="AK4682" i="2"/>
  <c r="AG4682" i="2"/>
  <c r="AH4682" i="2"/>
  <c r="AI4682" i="2"/>
  <c r="AL4682" i="2"/>
  <c r="AJ4682" i="2"/>
  <c r="AF4683" i="2"/>
  <c r="AK4683" i="2" s="1"/>
  <c r="AG4683" i="2"/>
  <c r="AH4683" i="2"/>
  <c r="AI4683" i="2"/>
  <c r="AJ4683" i="2"/>
  <c r="AF4684" i="2"/>
  <c r="AK4684" i="2" s="1"/>
  <c r="AG4684" i="2"/>
  <c r="AH4684" i="2"/>
  <c r="AI4684" i="2"/>
  <c r="AJ4684" i="2"/>
  <c r="AF4685" i="2"/>
  <c r="AK4685" i="2" s="1"/>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L4690" i="2" s="1"/>
  <c r="AI4690" i="2"/>
  <c r="AJ4690" i="2"/>
  <c r="AF4691" i="2"/>
  <c r="AK4691" i="2" s="1"/>
  <c r="AG4691" i="2"/>
  <c r="AH4691" i="2"/>
  <c r="AI4691" i="2"/>
  <c r="AJ4691" i="2"/>
  <c r="AF4692" i="2"/>
  <c r="AK4692" i="2"/>
  <c r="AG4692" i="2"/>
  <c r="AH4692" i="2"/>
  <c r="AI4692" i="2"/>
  <c r="AJ4692" i="2"/>
  <c r="AF4693" i="2"/>
  <c r="AK4693" i="2" s="1"/>
  <c r="AG4693" i="2"/>
  <c r="AL4693" i="2" s="1"/>
  <c r="AH4693" i="2"/>
  <c r="AI4693" i="2"/>
  <c r="AJ4693" i="2"/>
  <c r="AF4694" i="2"/>
  <c r="AK4694" i="2" s="1"/>
  <c r="AG4694" i="2"/>
  <c r="AH4694" i="2"/>
  <c r="AI4694" i="2"/>
  <c r="AJ4694" i="2"/>
  <c r="AF4695" i="2"/>
  <c r="AK4695" i="2" s="1"/>
  <c r="AG4695" i="2"/>
  <c r="AH4695" i="2"/>
  <c r="AI4695" i="2"/>
  <c r="AL4695" i="2" s="1"/>
  <c r="AJ4695" i="2"/>
  <c r="AF4696" i="2"/>
  <c r="AK4696" i="2"/>
  <c r="AG4696" i="2"/>
  <c r="AH4696" i="2"/>
  <c r="AI4696" i="2"/>
  <c r="AJ4696" i="2"/>
  <c r="AF4697" i="2"/>
  <c r="AK4697" i="2" s="1"/>
  <c r="AG4697" i="2"/>
  <c r="AH4697" i="2"/>
  <c r="AI4697" i="2"/>
  <c r="AJ4697" i="2"/>
  <c r="AF4698" i="2"/>
  <c r="AK4698" i="2" s="1"/>
  <c r="AG4698" i="2"/>
  <c r="AH4698" i="2"/>
  <c r="AL4698" i="2" s="1"/>
  <c r="AI4698" i="2"/>
  <c r="AJ4698" i="2"/>
  <c r="AF4699" i="2"/>
  <c r="AK4699" i="2" s="1"/>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L4702" i="2" s="1"/>
  <c r="AJ4702" i="2"/>
  <c r="AF4703" i="2"/>
  <c r="AK4703" i="2" s="1"/>
  <c r="AL4703" i="2" s="1"/>
  <c r="AG4703" i="2"/>
  <c r="AH4703" i="2"/>
  <c r="AI4703" i="2"/>
  <c r="AJ4703" i="2"/>
  <c r="AF4704" i="2"/>
  <c r="AK4704" i="2"/>
  <c r="AG4704" i="2"/>
  <c r="AH4704" i="2"/>
  <c r="AL4704" i="2" s="1"/>
  <c r="AI4704" i="2"/>
  <c r="AJ4704" i="2"/>
  <c r="AF4705" i="2"/>
  <c r="AK4705" i="2"/>
  <c r="AG4705" i="2"/>
  <c r="AH4705" i="2"/>
  <c r="AI4705" i="2"/>
  <c r="AJ4705" i="2"/>
  <c r="AF4706" i="2"/>
  <c r="AK4706" i="2" s="1"/>
  <c r="AL4706" i="2" s="1"/>
  <c r="AG4706" i="2"/>
  <c r="AH4706" i="2"/>
  <c r="AI4706" i="2"/>
  <c r="AJ4706" i="2"/>
  <c r="AF4707" i="2"/>
  <c r="AK4707" i="2" s="1"/>
  <c r="AG4707" i="2"/>
  <c r="AH4707" i="2"/>
  <c r="AI4707" i="2"/>
  <c r="AJ4707" i="2"/>
  <c r="AL4707" i="2" s="1"/>
  <c r="AF4708" i="2"/>
  <c r="AK4708" i="2"/>
  <c r="AG4708" i="2"/>
  <c r="AH4708" i="2"/>
  <c r="AI4708" i="2"/>
  <c r="AJ4708" i="2"/>
  <c r="AF4709" i="2"/>
  <c r="AK4709" i="2"/>
  <c r="AG4709" i="2"/>
  <c r="AH4709" i="2"/>
  <c r="AI4709" i="2"/>
  <c r="AJ4709" i="2"/>
  <c r="AF4710" i="2"/>
  <c r="AK4710" i="2" s="1"/>
  <c r="AG4710" i="2"/>
  <c r="AH4710" i="2"/>
  <c r="AI4710" i="2"/>
  <c r="AJ4710" i="2"/>
  <c r="AL4710" i="2" s="1"/>
  <c r="AF4711" i="2"/>
  <c r="AG4711" i="2"/>
  <c r="AH4711" i="2"/>
  <c r="AI4711" i="2"/>
  <c r="AJ4711" i="2"/>
  <c r="AK4711" i="2"/>
  <c r="AF4712" i="2"/>
  <c r="AK4712" i="2" s="1"/>
  <c r="AG4712" i="2"/>
  <c r="AL4712" i="2" s="1"/>
  <c r="AH4712" i="2"/>
  <c r="AI4712" i="2"/>
  <c r="AJ4712" i="2"/>
  <c r="AF4713" i="2"/>
  <c r="AK4713" i="2"/>
  <c r="AG4713" i="2"/>
  <c r="AH4713" i="2"/>
  <c r="AL4713" i="2" s="1"/>
  <c r="AI4713" i="2"/>
  <c r="AJ4713" i="2"/>
  <c r="AF4714" i="2"/>
  <c r="AK4714" i="2" s="1"/>
  <c r="AG4714" i="2"/>
  <c r="AL4714" i="2" s="1"/>
  <c r="AH4714" i="2"/>
  <c r="AI4714" i="2"/>
  <c r="AJ4714" i="2"/>
  <c r="AF4715" i="2"/>
  <c r="AK4715" i="2"/>
  <c r="AG4715" i="2"/>
  <c r="AL4715" i="2" s="1"/>
  <c r="AH4715" i="2"/>
  <c r="AI4715" i="2"/>
  <c r="AJ4715" i="2"/>
  <c r="AF4716" i="2"/>
  <c r="AK4716" i="2"/>
  <c r="AG4716" i="2"/>
  <c r="AH4716" i="2"/>
  <c r="AI4716" i="2"/>
  <c r="AJ4716" i="2"/>
  <c r="AF4717" i="2"/>
  <c r="AK4717" i="2" s="1"/>
  <c r="AG4717" i="2"/>
  <c r="AH4717" i="2"/>
  <c r="AI4717" i="2"/>
  <c r="AJ4717" i="2"/>
  <c r="AF4718" i="2"/>
  <c r="AK4718" i="2" s="1"/>
  <c r="AG4718" i="2"/>
  <c r="AL4718" i="2"/>
  <c r="AH4718" i="2"/>
  <c r="AI4718" i="2"/>
  <c r="AJ4718" i="2"/>
  <c r="AF4719" i="2"/>
  <c r="AK4719" i="2" s="1"/>
  <c r="AG4719" i="2"/>
  <c r="AH4719" i="2"/>
  <c r="AI4719" i="2"/>
  <c r="AJ4719" i="2"/>
  <c r="AF4720" i="2"/>
  <c r="AK4720" i="2" s="1"/>
  <c r="AG4720" i="2"/>
  <c r="AH4720" i="2"/>
  <c r="AI4720" i="2"/>
  <c r="AL4720" i="2" s="1"/>
  <c r="AJ4720" i="2"/>
  <c r="AF4721" i="2"/>
  <c r="AK4721" i="2" s="1"/>
  <c r="AG4721" i="2"/>
  <c r="AL4721" i="2" s="1"/>
  <c r="AH4721" i="2"/>
  <c r="AI4721" i="2"/>
  <c r="AJ4721" i="2"/>
  <c r="AF4722" i="2"/>
  <c r="AK4722" i="2"/>
  <c r="AG4722" i="2"/>
  <c r="AH4722" i="2"/>
  <c r="AI4722" i="2"/>
  <c r="AJ4722" i="2"/>
  <c r="AF4723" i="2"/>
  <c r="AK4723" i="2" s="1"/>
  <c r="AG4723" i="2"/>
  <c r="AH4723" i="2"/>
  <c r="AL4723" i="2" s="1"/>
  <c r="AI4723" i="2"/>
  <c r="AJ4723" i="2"/>
  <c r="AF4724" i="2"/>
  <c r="AK4724" i="2" s="1"/>
  <c r="AG4724" i="2"/>
  <c r="AH4724" i="2"/>
  <c r="AI4724" i="2"/>
  <c r="AJ4724" i="2"/>
  <c r="AF4725" i="2"/>
  <c r="AK4725" i="2" s="1"/>
  <c r="AG4725" i="2"/>
  <c r="AH4725" i="2"/>
  <c r="AI4725" i="2"/>
  <c r="AJ4725" i="2"/>
  <c r="AL4725" i="2" s="1"/>
  <c r="AF4726" i="2"/>
  <c r="AK4726" i="2"/>
  <c r="AG4726" i="2"/>
  <c r="AH4726" i="2"/>
  <c r="AI4726" i="2"/>
  <c r="AJ4726" i="2"/>
  <c r="AF4727" i="2"/>
  <c r="AK4727" i="2"/>
  <c r="AL4727" i="2" s="1"/>
  <c r="AG4727" i="2"/>
  <c r="AH4727" i="2"/>
  <c r="AI4727" i="2"/>
  <c r="AJ4727" i="2"/>
  <c r="AF4728" i="2"/>
  <c r="AK4728" i="2" s="1"/>
  <c r="AG4728" i="2"/>
  <c r="AH4728" i="2"/>
  <c r="AI4728" i="2"/>
  <c r="AJ4728" i="2"/>
  <c r="AF4729" i="2"/>
  <c r="AK4729" i="2" s="1"/>
  <c r="AL4729" i="2"/>
  <c r="AG4729" i="2"/>
  <c r="AH4729" i="2"/>
  <c r="AI4729" i="2"/>
  <c r="AJ4729" i="2"/>
  <c r="AF4730" i="2"/>
  <c r="AK4730" i="2"/>
  <c r="AG4730" i="2"/>
  <c r="AH4730" i="2"/>
  <c r="AI4730" i="2"/>
  <c r="AJ4730" i="2"/>
  <c r="AF4731" i="2"/>
  <c r="AK4731" i="2"/>
  <c r="AG4731" i="2"/>
  <c r="AH4731" i="2"/>
  <c r="AI4731" i="2"/>
  <c r="AJ4731" i="2"/>
  <c r="AF4732" i="2"/>
  <c r="AK4732" i="2" s="1"/>
  <c r="AG4732" i="2"/>
  <c r="AH4732" i="2"/>
  <c r="AI4732" i="2"/>
  <c r="AJ4732" i="2"/>
  <c r="AF4733" i="2"/>
  <c r="AK4733" i="2"/>
  <c r="AG4733" i="2"/>
  <c r="AL4733" i="2" s="1"/>
  <c r="AH4733" i="2"/>
  <c r="AI4733" i="2"/>
  <c r="AJ4733" i="2"/>
  <c r="AF4734" i="2"/>
  <c r="AK4734" i="2"/>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H4739" i="2"/>
  <c r="AI4739" i="2"/>
  <c r="AJ4739" i="2"/>
  <c r="AL4739" i="2" s="1"/>
  <c r="AF4740" i="2"/>
  <c r="AK4740" i="2" s="1"/>
  <c r="AG4740" i="2"/>
  <c r="AH4740" i="2"/>
  <c r="AI4740" i="2"/>
  <c r="AJ4740" i="2"/>
  <c r="AF4741" i="2"/>
  <c r="AK4741" i="2"/>
  <c r="AG4741" i="2"/>
  <c r="AH4741" i="2"/>
  <c r="AI4741" i="2"/>
  <c r="AJ4741" i="2"/>
  <c r="AF4742" i="2"/>
  <c r="AK4742" i="2" s="1"/>
  <c r="AG4742" i="2"/>
  <c r="AL4742" i="2" s="1"/>
  <c r="AH4742" i="2"/>
  <c r="AI4742" i="2"/>
  <c r="AJ4742" i="2"/>
  <c r="AF4743" i="2"/>
  <c r="AK4743" i="2"/>
  <c r="AG4743" i="2"/>
  <c r="AL4743" i="2" s="1"/>
  <c r="AH4743" i="2"/>
  <c r="AI4743" i="2"/>
  <c r="AJ4743" i="2"/>
  <c r="AF4744" i="2"/>
  <c r="AK4744" i="2"/>
  <c r="AL4744" i="2" s="1"/>
  <c r="AG4744" i="2"/>
  <c r="AH4744" i="2"/>
  <c r="AI4744" i="2"/>
  <c r="AJ4744" i="2"/>
  <c r="AF4745" i="2"/>
  <c r="AK4745" i="2" s="1"/>
  <c r="AG4745" i="2"/>
  <c r="AH4745" i="2"/>
  <c r="AI4745" i="2"/>
  <c r="AJ4745" i="2"/>
  <c r="AF4746" i="2"/>
  <c r="AK4746" i="2" s="1"/>
  <c r="AL4746" i="2"/>
  <c r="AG4746" i="2"/>
  <c r="AH4746" i="2"/>
  <c r="AI4746" i="2"/>
  <c r="AJ4746" i="2"/>
  <c r="AF4747" i="2"/>
  <c r="AK4747" i="2"/>
  <c r="AG4747" i="2"/>
  <c r="AH4747" i="2"/>
  <c r="AI4747" i="2"/>
  <c r="AJ4747" i="2"/>
  <c r="AF4748" i="2"/>
  <c r="AK4748" i="2" s="1"/>
  <c r="AG4748" i="2"/>
  <c r="AH4748" i="2"/>
  <c r="AI4748" i="2"/>
  <c r="AJ4748" i="2"/>
  <c r="AF4749" i="2"/>
  <c r="AK4749" i="2" s="1"/>
  <c r="AG4749" i="2"/>
  <c r="AH4749" i="2"/>
  <c r="AI4749" i="2"/>
  <c r="AJ4749" i="2"/>
  <c r="AL4749" i="2" s="1"/>
  <c r="AF4750" i="2"/>
  <c r="AK4750" i="2"/>
  <c r="AG4750" i="2"/>
  <c r="AH4750" i="2"/>
  <c r="AI4750" i="2"/>
  <c r="AJ4750" i="2"/>
  <c r="AF4751" i="2"/>
  <c r="AK4751" i="2"/>
  <c r="AG4751" i="2"/>
  <c r="AH4751" i="2"/>
  <c r="AI4751" i="2"/>
  <c r="AJ4751" i="2"/>
  <c r="AL4751" i="2" s="1"/>
  <c r="AF4752" i="2"/>
  <c r="AK4752" i="2"/>
  <c r="AG4752" i="2"/>
  <c r="AL4752" i="2" s="1"/>
  <c r="AH4752" i="2"/>
  <c r="AI4752" i="2"/>
  <c r="AJ4752" i="2"/>
  <c r="AF4753" i="2"/>
  <c r="AK4753" i="2"/>
  <c r="AG4753" i="2"/>
  <c r="AL4753" i="2" s="1"/>
  <c r="AH4753" i="2"/>
  <c r="AI4753" i="2"/>
  <c r="AJ4753" i="2"/>
  <c r="AF4754" i="2"/>
  <c r="AK4754" i="2"/>
  <c r="AG4754" i="2"/>
  <c r="AH4754" i="2"/>
  <c r="AI4754" i="2"/>
  <c r="AJ4754" i="2"/>
  <c r="AL4754" i="2"/>
  <c r="AF4755" i="2"/>
  <c r="AK4755" i="2" s="1"/>
  <c r="AG4755" i="2"/>
  <c r="AH4755" i="2"/>
  <c r="AI4755" i="2"/>
  <c r="AJ4755" i="2"/>
  <c r="AF4756" i="2"/>
  <c r="AK4756" i="2" s="1"/>
  <c r="AG4756" i="2"/>
  <c r="AH4756" i="2"/>
  <c r="AI4756" i="2"/>
  <c r="AJ4756" i="2"/>
  <c r="AF4757" i="2"/>
  <c r="AK4757" i="2" s="1"/>
  <c r="AG4757" i="2"/>
  <c r="AH4757" i="2"/>
  <c r="AI4757" i="2"/>
  <c r="AL4757" i="2" s="1"/>
  <c r="AJ4757" i="2"/>
  <c r="AF4758" i="2"/>
  <c r="AK4758" i="2"/>
  <c r="AG4758" i="2"/>
  <c r="AH4758" i="2"/>
  <c r="AL4758" i="2" s="1"/>
  <c r="AI4758" i="2"/>
  <c r="AJ4758" i="2"/>
  <c r="AF4759" i="2"/>
  <c r="AK4759" i="2"/>
  <c r="AG4759" i="2"/>
  <c r="AH4759" i="2"/>
  <c r="AI4759" i="2"/>
  <c r="AJ4759" i="2"/>
  <c r="AF4760" i="2"/>
  <c r="AK4760" i="2"/>
  <c r="AG4760" i="2"/>
  <c r="AL4760" i="2"/>
  <c r="AH4760" i="2"/>
  <c r="AI4760" i="2"/>
  <c r="AJ4760" i="2"/>
  <c r="AF4761" i="2"/>
  <c r="AK4761" i="2" s="1"/>
  <c r="AG4761" i="2"/>
  <c r="AH4761" i="2"/>
  <c r="AI4761" i="2"/>
  <c r="AJ4761" i="2"/>
  <c r="AL4761" i="2" s="1"/>
  <c r="AF4762" i="2"/>
  <c r="AK4762" i="2"/>
  <c r="AG4762" i="2"/>
  <c r="AL4762" i="2" s="1"/>
  <c r="AH4762" i="2"/>
  <c r="AI4762" i="2"/>
  <c r="AJ4762" i="2"/>
  <c r="AF4763" i="2"/>
  <c r="AK4763" i="2"/>
  <c r="AG4763" i="2"/>
  <c r="AH4763" i="2"/>
  <c r="AI4763" i="2"/>
  <c r="AJ4763" i="2"/>
  <c r="AF4764" i="2"/>
  <c r="AK4764" i="2" s="1"/>
  <c r="AG4764" i="2"/>
  <c r="AL4764" i="2"/>
  <c r="AH4764" i="2"/>
  <c r="AI4764" i="2"/>
  <c r="AJ4764" i="2"/>
  <c r="AF4765" i="2"/>
  <c r="AK4765" i="2" s="1"/>
  <c r="AG4765" i="2"/>
  <c r="AH4765" i="2"/>
  <c r="AI4765" i="2"/>
  <c r="AJ4765" i="2"/>
  <c r="AF4766" i="2"/>
  <c r="AK4766" i="2"/>
  <c r="AG4766" i="2"/>
  <c r="AH4766" i="2"/>
  <c r="AI4766" i="2"/>
  <c r="AJ4766" i="2"/>
  <c r="AF4767" i="2"/>
  <c r="AK4767" i="2"/>
  <c r="AG4767" i="2"/>
  <c r="AH4767" i="2"/>
  <c r="AL4767" i="2" s="1"/>
  <c r="AI4767" i="2"/>
  <c r="AJ4767" i="2"/>
  <c r="AF4768" i="2"/>
  <c r="AK4768" i="2" s="1"/>
  <c r="AG4768" i="2"/>
  <c r="AH4768" i="2"/>
  <c r="AI4768" i="2"/>
  <c r="AJ4768" i="2"/>
  <c r="AF4769" i="2"/>
  <c r="AK4769" i="2"/>
  <c r="AL4769" i="2"/>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L4773" i="2" s="1"/>
  <c r="AH4773" i="2"/>
  <c r="AI4773" i="2"/>
  <c r="AJ4773" i="2"/>
  <c r="AF4774" i="2"/>
  <c r="AK4774" i="2" s="1"/>
  <c r="AG4774" i="2"/>
  <c r="AH4774" i="2"/>
  <c r="AI4774" i="2"/>
  <c r="AJ4774" i="2"/>
  <c r="AF4775" i="2"/>
  <c r="AK4775" i="2" s="1"/>
  <c r="AG4775" i="2"/>
  <c r="AH4775" i="2"/>
  <c r="AI4775" i="2"/>
  <c r="AL4775" i="2" s="1"/>
  <c r="AJ4775" i="2"/>
  <c r="AF4776" i="2"/>
  <c r="AK4776" i="2"/>
  <c r="AG4776" i="2"/>
  <c r="AH4776" i="2"/>
  <c r="AI4776" i="2"/>
  <c r="AJ4776" i="2"/>
  <c r="AF4777" i="2"/>
  <c r="AK4777" i="2" s="1"/>
  <c r="AG4777" i="2"/>
  <c r="AH4777" i="2"/>
  <c r="AI4777" i="2"/>
  <c r="AJ4777" i="2"/>
  <c r="AF4778" i="2"/>
  <c r="AK4778" i="2"/>
  <c r="AL4778" i="2" s="1"/>
  <c r="AG4778" i="2"/>
  <c r="AH4778" i="2"/>
  <c r="AI4778" i="2"/>
  <c r="AJ4778" i="2"/>
  <c r="AF4779" i="2"/>
  <c r="AK4779" i="2"/>
  <c r="AG4779" i="2"/>
  <c r="AH4779" i="2"/>
  <c r="AI4779" i="2"/>
  <c r="AJ4779" i="2"/>
  <c r="AF4780" i="2"/>
  <c r="AK4780" i="2"/>
  <c r="AL4780" i="2" s="1"/>
  <c r="AG4780" i="2"/>
  <c r="AH4780" i="2"/>
  <c r="AI4780" i="2"/>
  <c r="AJ4780" i="2"/>
  <c r="AF4781" i="2"/>
  <c r="AK4781" i="2"/>
  <c r="AG4781" i="2"/>
  <c r="AH4781" i="2"/>
  <c r="AI4781" i="2"/>
  <c r="AJ4781" i="2"/>
  <c r="AF4782" i="2"/>
  <c r="AK4782" i="2"/>
  <c r="AG4782" i="2"/>
  <c r="AH4782" i="2"/>
  <c r="AI4782" i="2"/>
  <c r="AJ4782" i="2"/>
  <c r="AF4783" i="2"/>
  <c r="AK4783" i="2" s="1"/>
  <c r="AG4783" i="2"/>
  <c r="AH4783" i="2"/>
  <c r="AI4783" i="2"/>
  <c r="AL4783" i="2" s="1"/>
  <c r="AJ4783" i="2"/>
  <c r="AF4784" i="2"/>
  <c r="AK4784" i="2" s="1"/>
  <c r="AG4784" i="2"/>
  <c r="AL4784" i="2" s="1"/>
  <c r="AH4784" i="2"/>
  <c r="AI4784" i="2"/>
  <c r="AJ4784" i="2"/>
  <c r="AF4785" i="2"/>
  <c r="AK4785" i="2"/>
  <c r="AG4785" i="2"/>
  <c r="AH4785" i="2"/>
  <c r="AI4785" i="2"/>
  <c r="AJ4785" i="2"/>
  <c r="AF4786" i="2"/>
  <c r="AK4786" i="2"/>
  <c r="AG4786" i="2"/>
  <c r="AH4786" i="2"/>
  <c r="AI4786" i="2"/>
  <c r="AL4786" i="2" s="1"/>
  <c r="AJ4786" i="2"/>
  <c r="AF4787" i="2"/>
  <c r="AK4787" i="2"/>
  <c r="AG4787" i="2"/>
  <c r="AH4787" i="2"/>
  <c r="AI4787" i="2"/>
  <c r="AJ4787" i="2"/>
  <c r="AF4788" i="2"/>
  <c r="AK4788" i="2" s="1"/>
  <c r="AG4788" i="2"/>
  <c r="AH4788" i="2"/>
  <c r="AI4788" i="2"/>
  <c r="AJ4788" i="2"/>
  <c r="AF4789" i="2"/>
  <c r="AK4789" i="2"/>
  <c r="AG4789" i="2"/>
  <c r="AH4789" i="2"/>
  <c r="AI4789" i="2"/>
  <c r="AJ4789" i="2"/>
  <c r="AF4790" i="2"/>
  <c r="AK4790" i="2"/>
  <c r="AG4790" i="2"/>
  <c r="AL4790" i="2" s="1"/>
  <c r="AH4790" i="2"/>
  <c r="AI4790" i="2"/>
  <c r="AJ4790" i="2"/>
  <c r="AF4791" i="2"/>
  <c r="AK4791" i="2" s="1"/>
  <c r="AG4791" i="2"/>
  <c r="AH4791" i="2"/>
  <c r="AI4791" i="2"/>
  <c r="AJ4791" i="2"/>
  <c r="AF4792" i="2"/>
  <c r="AK4792" i="2" s="1"/>
  <c r="AG4792" i="2"/>
  <c r="AH4792" i="2"/>
  <c r="AI4792" i="2"/>
  <c r="AJ4792" i="2"/>
  <c r="AF4793" i="2"/>
  <c r="AK4793" i="2" s="1"/>
  <c r="AL4793" i="2" s="1"/>
  <c r="AG4793" i="2"/>
  <c r="AH4793" i="2"/>
  <c r="AI4793" i="2"/>
  <c r="AJ4793" i="2"/>
  <c r="AF4794" i="2"/>
  <c r="AK4794" i="2"/>
  <c r="AG4794" i="2"/>
  <c r="AH4794" i="2"/>
  <c r="AL4794" i="2" s="1"/>
  <c r="AI4794" i="2"/>
  <c r="AJ4794" i="2"/>
  <c r="AF4795" i="2"/>
  <c r="AK4795" i="2"/>
  <c r="AG4795" i="2"/>
  <c r="AH4795" i="2"/>
  <c r="AI4795" i="2"/>
  <c r="AJ4795" i="2"/>
  <c r="AF4796" i="2"/>
  <c r="AK4796" i="2" s="1"/>
  <c r="AG4796" i="2"/>
  <c r="AH4796" i="2"/>
  <c r="AI4796" i="2"/>
  <c r="AJ4796" i="2"/>
  <c r="AF4797" i="2"/>
  <c r="AK4797" i="2" s="1"/>
  <c r="AG4797" i="2"/>
  <c r="AH4797" i="2"/>
  <c r="AI4797" i="2"/>
  <c r="AJ4797" i="2"/>
  <c r="AF4798" i="2"/>
  <c r="AK4798" i="2" s="1"/>
  <c r="AG4798" i="2"/>
  <c r="AH4798" i="2"/>
  <c r="AI4798" i="2"/>
  <c r="AJ4798" i="2"/>
  <c r="AF4799" i="2"/>
  <c r="AK4799" i="2" s="1"/>
  <c r="AL4799" i="2" s="1"/>
  <c r="AG4799" i="2"/>
  <c r="AH4799" i="2"/>
  <c r="AI4799" i="2"/>
  <c r="AJ4799" i="2"/>
  <c r="AF4800" i="2"/>
  <c r="AK4800" i="2" s="1"/>
  <c r="AG4800" i="2"/>
  <c r="AL4800" i="2" s="1"/>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s="1"/>
  <c r="AG4804" i="2"/>
  <c r="AH4804" i="2"/>
  <c r="AI4804" i="2"/>
  <c r="AJ4804" i="2"/>
  <c r="AF4805" i="2"/>
  <c r="AK4805" i="2" s="1"/>
  <c r="AG4805" i="2"/>
  <c r="AH4805" i="2"/>
  <c r="AL4805" i="2" s="1"/>
  <c r="AI4805" i="2"/>
  <c r="AJ4805" i="2"/>
  <c r="AF4806" i="2"/>
  <c r="AK4806" i="2" s="1"/>
  <c r="AG4806" i="2"/>
  <c r="AH4806" i="2"/>
  <c r="AI4806" i="2"/>
  <c r="AJ4806" i="2"/>
  <c r="AF4807" i="2"/>
  <c r="AK4807" i="2" s="1"/>
  <c r="AG4807" i="2"/>
  <c r="AH4807" i="2"/>
  <c r="AI4807" i="2"/>
  <c r="AL4807" i="2" s="1"/>
  <c r="AJ4807" i="2"/>
  <c r="AF4808" i="2"/>
  <c r="AK4808" i="2" s="1"/>
  <c r="AG4808" i="2"/>
  <c r="AL4808" i="2" s="1"/>
  <c r="AH4808" i="2"/>
  <c r="AI4808" i="2"/>
  <c r="AJ4808" i="2"/>
  <c r="AF4809" i="2"/>
  <c r="AK4809" i="2"/>
  <c r="AG4809" i="2"/>
  <c r="AL4809" i="2"/>
  <c r="AH4809" i="2"/>
  <c r="AI4809" i="2"/>
  <c r="AJ4809" i="2"/>
  <c r="AF4810" i="2"/>
  <c r="AK4810" i="2" s="1"/>
  <c r="AG4810" i="2"/>
  <c r="AH4810" i="2"/>
  <c r="AI4810" i="2"/>
  <c r="AJ4810" i="2"/>
  <c r="AL4810" i="2" s="1"/>
  <c r="AF4811" i="2"/>
  <c r="AK4811" i="2"/>
  <c r="AG4811" i="2"/>
  <c r="AH4811" i="2"/>
  <c r="AI4811" i="2"/>
  <c r="AJ4811" i="2"/>
  <c r="AF4812" i="2"/>
  <c r="AK4812" i="2"/>
  <c r="AG4812" i="2"/>
  <c r="AH4812" i="2"/>
  <c r="AI4812" i="2"/>
  <c r="AJ4812" i="2"/>
  <c r="AF4813" i="2"/>
  <c r="AK4813" i="2"/>
  <c r="AG4813" i="2"/>
  <c r="AH4813" i="2"/>
  <c r="AI4813" i="2"/>
  <c r="AJ4813" i="2"/>
  <c r="AF4814" i="2"/>
  <c r="AK4814" i="2"/>
  <c r="AG4814" i="2"/>
  <c r="AH4814" i="2"/>
  <c r="AL4814" i="2" s="1"/>
  <c r="AI4814" i="2"/>
  <c r="AJ4814" i="2"/>
  <c r="AF4815" i="2"/>
  <c r="AK4815" i="2" s="1"/>
  <c r="AG4815" i="2"/>
  <c r="AH4815" i="2"/>
  <c r="AI4815" i="2"/>
  <c r="AJ4815" i="2"/>
  <c r="AF4816" i="2"/>
  <c r="AK4816" i="2" s="1"/>
  <c r="AL4816" i="2" s="1"/>
  <c r="AG4816" i="2"/>
  <c r="AH4816" i="2"/>
  <c r="AI4816" i="2"/>
  <c r="AJ4816" i="2"/>
  <c r="AF4817" i="2"/>
  <c r="AK4817" i="2" s="1"/>
  <c r="AG4817" i="2"/>
  <c r="AH4817" i="2"/>
  <c r="AI4817" i="2"/>
  <c r="AJ4817" i="2"/>
  <c r="AL4817" i="2" s="1"/>
  <c r="AF4818" i="2"/>
  <c r="AK4818" i="2" s="1"/>
  <c r="AG4818" i="2"/>
  <c r="AH4818" i="2"/>
  <c r="AI4818" i="2"/>
  <c r="AJ4818" i="2"/>
  <c r="AF4819" i="2"/>
  <c r="AK4819" i="2" s="1"/>
  <c r="AG4819" i="2"/>
  <c r="AH4819" i="2"/>
  <c r="AI4819" i="2"/>
  <c r="AJ4819" i="2"/>
  <c r="AF4820" i="2"/>
  <c r="AK4820" i="2" s="1"/>
  <c r="AG4820" i="2"/>
  <c r="AL4820" i="2" s="1"/>
  <c r="AH4820" i="2"/>
  <c r="AI4820" i="2"/>
  <c r="AJ4820" i="2"/>
  <c r="AF4821" i="2"/>
  <c r="AK4821" i="2"/>
  <c r="AG4821" i="2"/>
  <c r="AH4821" i="2"/>
  <c r="AI4821" i="2"/>
  <c r="AJ4821" i="2"/>
  <c r="AF4822" i="2"/>
  <c r="AK4822" i="2"/>
  <c r="AG4822" i="2"/>
  <c r="AH4822" i="2"/>
  <c r="AI4822" i="2"/>
  <c r="AL4822" i="2" s="1"/>
  <c r="AJ4822" i="2"/>
  <c r="AF4823" i="2"/>
  <c r="AK4823" i="2" s="1"/>
  <c r="AG4823" i="2"/>
  <c r="AH4823" i="2"/>
  <c r="AL4823" i="2" s="1"/>
  <c r="AI4823" i="2"/>
  <c r="AJ4823" i="2"/>
  <c r="AF4824" i="2"/>
  <c r="AK4824" i="2"/>
  <c r="AL4824" i="2" s="1"/>
  <c r="AG4824" i="2"/>
  <c r="AH4824" i="2"/>
  <c r="AI4824" i="2"/>
  <c r="AJ4824" i="2"/>
  <c r="AF4825" i="2"/>
  <c r="AK4825" i="2"/>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I4828" i="2"/>
  <c r="AJ4828" i="2"/>
  <c r="AF4829" i="2"/>
  <c r="AK4829" i="2" s="1"/>
  <c r="AG4829" i="2"/>
  <c r="AH4829" i="2"/>
  <c r="AI4829" i="2"/>
  <c r="AJ4829" i="2"/>
  <c r="AF4830" i="2"/>
  <c r="AK4830" i="2" s="1"/>
  <c r="AG4830" i="2"/>
  <c r="AL4830" i="2" s="1"/>
  <c r="AH4830" i="2"/>
  <c r="AI4830" i="2"/>
  <c r="AJ4830" i="2"/>
  <c r="AF4831" i="2"/>
  <c r="AK4831" i="2"/>
  <c r="AG4831" i="2"/>
  <c r="AH4831" i="2"/>
  <c r="AL4831" i="2" s="1"/>
  <c r="AI4831" i="2"/>
  <c r="AJ4831" i="2"/>
  <c r="AF4832" i="2"/>
  <c r="AK4832" i="2" s="1"/>
  <c r="AG4832" i="2"/>
  <c r="AH4832" i="2"/>
  <c r="AL4832" i="2" s="1"/>
  <c r="AI4832" i="2"/>
  <c r="AJ4832" i="2"/>
  <c r="AF4833" i="2"/>
  <c r="AK4833" i="2"/>
  <c r="AG4833" i="2"/>
  <c r="AH4833" i="2"/>
  <c r="AI4833" i="2"/>
  <c r="AL4833" i="2" s="1"/>
  <c r="AJ4833" i="2"/>
  <c r="AF4834" i="2"/>
  <c r="AK4834" i="2"/>
  <c r="AG4834" i="2"/>
  <c r="AH4834" i="2"/>
  <c r="AL4834" i="2" s="1"/>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L4838" i="2" s="1"/>
  <c r="AJ4838" i="2"/>
  <c r="AF4839" i="2"/>
  <c r="AK4839" i="2" s="1"/>
  <c r="AG4839" i="2"/>
  <c r="AH4839" i="2"/>
  <c r="AI4839" i="2"/>
  <c r="AJ4839" i="2"/>
  <c r="AF4840" i="2"/>
  <c r="AK4840" i="2"/>
  <c r="AG4840" i="2"/>
  <c r="AH4840" i="2"/>
  <c r="AI4840" i="2"/>
  <c r="AJ4840" i="2"/>
  <c r="AF4841" i="2"/>
  <c r="AK4841" i="2"/>
  <c r="AG4841" i="2"/>
  <c r="AH4841" i="2"/>
  <c r="AI4841" i="2"/>
  <c r="AL4841" i="2" s="1"/>
  <c r="AJ4841" i="2"/>
  <c r="AF4842" i="2"/>
  <c r="AK4842" i="2" s="1"/>
  <c r="AG4842" i="2"/>
  <c r="AL4842" i="2" s="1"/>
  <c r="AH4842" i="2"/>
  <c r="AI4842" i="2"/>
  <c r="AJ4842" i="2"/>
  <c r="AF4843" i="2"/>
  <c r="AK4843" i="2"/>
  <c r="AG4843" i="2"/>
  <c r="AH4843" i="2"/>
  <c r="AI4843" i="2"/>
  <c r="AJ4843" i="2"/>
  <c r="AF4844" i="2"/>
  <c r="AK4844" i="2"/>
  <c r="AG4844" i="2"/>
  <c r="AL4844" i="2" s="1"/>
  <c r="AH4844" i="2"/>
  <c r="AI4844" i="2"/>
  <c r="AJ4844" i="2"/>
  <c r="AF4845" i="2"/>
  <c r="AK4845" i="2"/>
  <c r="AG4845" i="2"/>
  <c r="AH4845" i="2"/>
  <c r="AI4845" i="2"/>
  <c r="AJ4845" i="2"/>
  <c r="AF4846" i="2"/>
  <c r="AK4846" i="2"/>
  <c r="AL4846" i="2" s="1"/>
  <c r="AG4846" i="2"/>
  <c r="AH4846" i="2"/>
  <c r="AI4846" i="2"/>
  <c r="AJ4846" i="2"/>
  <c r="AF4847" i="2"/>
  <c r="AK4847" i="2" s="1"/>
  <c r="AG4847" i="2"/>
  <c r="AH4847" i="2"/>
  <c r="AL4847" i="2"/>
  <c r="AI4847" i="2"/>
  <c r="AJ4847" i="2"/>
  <c r="AF4848" i="2"/>
  <c r="AK4848" i="2"/>
  <c r="AG4848" i="2"/>
  <c r="AH4848" i="2"/>
  <c r="AI4848" i="2"/>
  <c r="AJ4848" i="2"/>
  <c r="AF4849" i="2"/>
  <c r="AK4849" i="2"/>
  <c r="AG4849" i="2"/>
  <c r="AH4849" i="2"/>
  <c r="AI4849" i="2"/>
  <c r="AJ4849" i="2"/>
  <c r="AF4850" i="2"/>
  <c r="AK4850" i="2" s="1"/>
  <c r="AL4850" i="2" s="1"/>
  <c r="AG4850" i="2"/>
  <c r="AH4850" i="2"/>
  <c r="AI4850" i="2"/>
  <c r="AJ4850" i="2"/>
  <c r="AF4851" i="2"/>
  <c r="AK4851" i="2" s="1"/>
  <c r="AG4851" i="2"/>
  <c r="AL4851" i="2" s="1"/>
  <c r="AH4851" i="2"/>
  <c r="AI4851" i="2"/>
  <c r="AJ4851" i="2"/>
  <c r="AF4852" i="2"/>
  <c r="AK4852" i="2"/>
  <c r="AG4852" i="2"/>
  <c r="AL4852" i="2" s="1"/>
  <c r="AH4852" i="2"/>
  <c r="AI4852" i="2"/>
  <c r="AJ4852" i="2"/>
  <c r="AF4853" i="2"/>
  <c r="AK4853" i="2"/>
  <c r="AG4853" i="2"/>
  <c r="AH4853" i="2"/>
  <c r="AI4853" i="2"/>
  <c r="AJ4853" i="2"/>
  <c r="AF4854" i="2"/>
  <c r="AK4854" i="2"/>
  <c r="AG4854" i="2"/>
  <c r="AH4854" i="2"/>
  <c r="AI4854" i="2"/>
  <c r="AJ4854" i="2"/>
  <c r="AF4855" i="2"/>
  <c r="AK4855" i="2"/>
  <c r="AG4855" i="2"/>
  <c r="AH4855" i="2"/>
  <c r="AI4855" i="2"/>
  <c r="AL4855" i="2" s="1"/>
  <c r="AJ4855" i="2"/>
  <c r="AF4856" i="2"/>
  <c r="AK4856" i="2" s="1"/>
  <c r="AL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L4859" i="2" s="1"/>
  <c r="AJ4859" i="2"/>
  <c r="AF4860" i="2"/>
  <c r="AK4860" i="2" s="1"/>
  <c r="AG4860" i="2"/>
  <c r="AL4860" i="2" s="1"/>
  <c r="AH4860" i="2"/>
  <c r="AI4860" i="2"/>
  <c r="AJ4860" i="2"/>
  <c r="AF4861" i="2"/>
  <c r="AK4861" i="2" s="1"/>
  <c r="AG4861" i="2"/>
  <c r="AL4861" i="2" s="1"/>
  <c r="AH4861" i="2"/>
  <c r="AI4861" i="2"/>
  <c r="AJ4861" i="2"/>
  <c r="AF4862" i="2"/>
  <c r="AK4862" i="2"/>
  <c r="AG4862" i="2"/>
  <c r="AL4862" i="2" s="1"/>
  <c r="AH4862" i="2"/>
  <c r="AI4862" i="2"/>
  <c r="AJ4862" i="2"/>
  <c r="AF4863" i="2"/>
  <c r="AK4863" i="2"/>
  <c r="AG4863" i="2"/>
  <c r="AH4863" i="2"/>
  <c r="AL4863" i="2"/>
  <c r="AI4863" i="2"/>
  <c r="AJ4863" i="2"/>
  <c r="AF4864" i="2"/>
  <c r="AK4864" i="2" s="1"/>
  <c r="AL4864" i="2" s="1"/>
  <c r="AG4864" i="2"/>
  <c r="AH4864" i="2"/>
  <c r="AI4864" i="2"/>
  <c r="AJ4864" i="2"/>
  <c r="AF4865" i="2"/>
  <c r="AK4865" i="2" s="1"/>
  <c r="AG4865" i="2"/>
  <c r="AL4865" i="2" s="1"/>
  <c r="AH4865" i="2"/>
  <c r="AI4865" i="2"/>
  <c r="AJ4865" i="2"/>
  <c r="AF4866" i="2"/>
  <c r="AK4866" i="2"/>
  <c r="AG4866" i="2"/>
  <c r="AH4866" i="2"/>
  <c r="AL4866" i="2" s="1"/>
  <c r="AI4866" i="2"/>
  <c r="AJ4866" i="2"/>
  <c r="AF4867" i="2"/>
  <c r="AK4867" i="2" s="1"/>
  <c r="AG4867" i="2"/>
  <c r="AL4867" i="2" s="1"/>
  <c r="AH4867" i="2"/>
  <c r="AI4867" i="2"/>
  <c r="AJ4867" i="2"/>
  <c r="AF4868" i="2"/>
  <c r="AK4868" i="2"/>
  <c r="AG4868" i="2"/>
  <c r="AL4868" i="2"/>
  <c r="AH4868" i="2"/>
  <c r="AI4868" i="2"/>
  <c r="AJ4868" i="2"/>
  <c r="AF4869" i="2"/>
  <c r="AK4869" i="2"/>
  <c r="AG4869" i="2"/>
  <c r="AL4869" i="2" s="1"/>
  <c r="AH4869" i="2"/>
  <c r="AI4869" i="2"/>
  <c r="AJ4869" i="2"/>
  <c r="AF4870" i="2"/>
  <c r="AK4870" i="2"/>
  <c r="AG4870" i="2"/>
  <c r="AH4870" i="2"/>
  <c r="AI4870" i="2"/>
  <c r="AJ4870" i="2"/>
  <c r="AF4871" i="2"/>
  <c r="AK4871" i="2" s="1"/>
  <c r="AG4871" i="2"/>
  <c r="AH4871" i="2"/>
  <c r="AI4871" i="2"/>
  <c r="AJ4871" i="2"/>
  <c r="AF4872" i="2"/>
  <c r="AK4872" i="2" s="1"/>
  <c r="AL4872" i="2" s="1"/>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L4875" i="2" s="1"/>
  <c r="AJ4875" i="2"/>
  <c r="AF4876" i="2"/>
  <c r="AK4876" i="2"/>
  <c r="AG4876" i="2"/>
  <c r="AH4876" i="2"/>
  <c r="AL4876" i="2" s="1"/>
  <c r="AI4876" i="2"/>
  <c r="AJ4876" i="2"/>
  <c r="AF4877" i="2"/>
  <c r="AK4877" i="2" s="1"/>
  <c r="AG4877" i="2"/>
  <c r="AH4877" i="2"/>
  <c r="AI4877" i="2"/>
  <c r="AL4877" i="2" s="1"/>
  <c r="AJ4877" i="2"/>
  <c r="AF4878" i="2"/>
  <c r="AK4878" i="2" s="1"/>
  <c r="AG4878" i="2"/>
  <c r="AH4878" i="2"/>
  <c r="AI4878" i="2"/>
  <c r="AJ4878" i="2"/>
  <c r="AF4879" i="2"/>
  <c r="AK4879" i="2"/>
  <c r="AG4879" i="2"/>
  <c r="AL4879" i="2" s="1"/>
  <c r="AH4879" i="2"/>
  <c r="AI4879" i="2"/>
  <c r="AJ4879" i="2"/>
  <c r="AF4880" i="2"/>
  <c r="AK4880" i="2"/>
  <c r="AG4880" i="2"/>
  <c r="AL4880" i="2" s="1"/>
  <c r="AH4880" i="2"/>
  <c r="AI4880" i="2"/>
  <c r="AJ4880" i="2"/>
  <c r="AF4881" i="2"/>
  <c r="AK4881" i="2"/>
  <c r="AG4881" i="2"/>
  <c r="AH4881" i="2"/>
  <c r="AL4881" i="2" s="1"/>
  <c r="AI4881" i="2"/>
  <c r="AJ4881" i="2"/>
  <c r="AF4882" i="2"/>
  <c r="AK4882" i="2" s="1"/>
  <c r="AG4882" i="2"/>
  <c r="AL4882" i="2" s="1"/>
  <c r="AH4882" i="2"/>
  <c r="AI4882" i="2"/>
  <c r="AJ4882" i="2"/>
  <c r="AF4883" i="2"/>
  <c r="AK4883" i="2" s="1"/>
  <c r="AG4883" i="2"/>
  <c r="AL4883" i="2" s="1"/>
  <c r="AH4883" i="2"/>
  <c r="AI4883" i="2"/>
  <c r="AJ4883" i="2"/>
  <c r="AF4884" i="2"/>
  <c r="AK4884" i="2"/>
  <c r="AG4884" i="2"/>
  <c r="AH4884" i="2"/>
  <c r="AI4884" i="2"/>
  <c r="AL4884" i="2" s="1"/>
  <c r="AJ4884" i="2"/>
  <c r="AF4885" i="2"/>
  <c r="AK4885" i="2"/>
  <c r="AG4885" i="2"/>
  <c r="AH4885" i="2"/>
  <c r="AI4885" i="2"/>
  <c r="AJ4885" i="2"/>
  <c r="AF4886" i="2"/>
  <c r="AK4886" i="2"/>
  <c r="AG4886" i="2"/>
  <c r="AH4886" i="2"/>
  <c r="AL4886" i="2" s="1"/>
  <c r="AI4886" i="2"/>
  <c r="AJ4886" i="2"/>
  <c r="AF4887" i="2"/>
  <c r="AK4887" i="2" s="1"/>
  <c r="AG4887" i="2"/>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s="1"/>
  <c r="AG4891" i="2"/>
  <c r="AH4891" i="2"/>
  <c r="AI4891" i="2"/>
  <c r="AJ4891" i="2"/>
  <c r="AF4892" i="2"/>
  <c r="AK4892" i="2" s="1"/>
  <c r="AL4892" i="2" s="1"/>
  <c r="AG4892" i="2"/>
  <c r="AH4892" i="2"/>
  <c r="AI4892" i="2"/>
  <c r="AJ4892" i="2"/>
  <c r="AF4893" i="2"/>
  <c r="AK4893" i="2" s="1"/>
  <c r="AG4893" i="2"/>
  <c r="AL4893" i="2" s="1"/>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L4897" i="2" s="1"/>
  <c r="AI4897" i="2"/>
  <c r="AJ4897" i="2"/>
  <c r="AF4898" i="2"/>
  <c r="AK4898" i="2" s="1"/>
  <c r="AG4898" i="2"/>
  <c r="AH4898" i="2"/>
  <c r="AI4898" i="2"/>
  <c r="AJ4898" i="2"/>
  <c r="AL4898" i="2" s="1"/>
  <c r="AF4899" i="2"/>
  <c r="AK4899" i="2"/>
  <c r="AG4899" i="2"/>
  <c r="AL4899" i="2" s="1"/>
  <c r="AH4899" i="2"/>
  <c r="AI4899" i="2"/>
  <c r="AJ4899" i="2"/>
  <c r="AF4900" i="2"/>
  <c r="AK4900" i="2"/>
  <c r="AG4900" i="2"/>
  <c r="AH4900" i="2"/>
  <c r="AI4900" i="2"/>
  <c r="AL4900" i="2" s="1"/>
  <c r="AJ4900" i="2"/>
  <c r="AF4901" i="2"/>
  <c r="AK4901" i="2"/>
  <c r="AG4901" i="2"/>
  <c r="AH4901" i="2"/>
  <c r="AL4901" i="2" s="1"/>
  <c r="AI4901" i="2"/>
  <c r="AJ4901" i="2"/>
  <c r="AF4902" i="2"/>
  <c r="AK4902" i="2" s="1"/>
  <c r="AL4902" i="2" s="1"/>
  <c r="AG4902" i="2"/>
  <c r="AH4902" i="2"/>
  <c r="AI4902" i="2"/>
  <c r="AJ4902" i="2"/>
  <c r="AF4903" i="2"/>
  <c r="AK4903" i="2" s="1"/>
  <c r="AL4903" i="2" s="1"/>
  <c r="AG4903" i="2"/>
  <c r="AH4903" i="2"/>
  <c r="AI4903" i="2"/>
  <c r="AJ4903" i="2"/>
  <c r="AF4904" i="2"/>
  <c r="AK4904" i="2" s="1"/>
  <c r="AG4904" i="2"/>
  <c r="AH4904" i="2"/>
  <c r="AI4904" i="2"/>
  <c r="AJ4904" i="2"/>
  <c r="AF4905" i="2"/>
  <c r="AK4905" i="2" s="1"/>
  <c r="AL4905" i="2" s="1"/>
  <c r="AG4905" i="2"/>
  <c r="AH4905" i="2"/>
  <c r="AI4905" i="2"/>
  <c r="AJ4905" i="2"/>
  <c r="AF4906" i="2"/>
  <c r="AK4906" i="2" s="1"/>
  <c r="AG4906" i="2"/>
  <c r="AL4906" i="2" s="1"/>
  <c r="AH4906" i="2"/>
  <c r="AI4906" i="2"/>
  <c r="AJ4906" i="2"/>
  <c r="AF4907" i="2"/>
  <c r="AK4907" i="2" s="1"/>
  <c r="AG4907" i="2"/>
  <c r="AL4907" i="2" s="1"/>
  <c r="AH4907" i="2"/>
  <c r="AI4907" i="2"/>
  <c r="AJ4907" i="2"/>
  <c r="AF4908" i="2"/>
  <c r="AK4908" i="2"/>
  <c r="AG4908" i="2"/>
  <c r="AH4908" i="2"/>
  <c r="AI4908" i="2"/>
  <c r="AL4908" i="2" s="1"/>
  <c r="AJ4908" i="2"/>
  <c r="AF4909" i="2"/>
  <c r="AK4909" i="2"/>
  <c r="AG4909" i="2"/>
  <c r="AL4909" i="2" s="1"/>
  <c r="AH4909" i="2"/>
  <c r="AI4909" i="2"/>
  <c r="AJ4909" i="2"/>
  <c r="AF4910" i="2"/>
  <c r="AK4910" i="2" s="1"/>
  <c r="AG4910" i="2"/>
  <c r="AH4910" i="2"/>
  <c r="AL4910" i="2" s="1"/>
  <c r="AI4910" i="2"/>
  <c r="AJ4910" i="2"/>
  <c r="AF4911" i="2"/>
  <c r="AK4911" i="2" s="1"/>
  <c r="AL4911" i="2" s="1"/>
  <c r="AG4911" i="2"/>
  <c r="AH4911" i="2"/>
  <c r="AI4911" i="2"/>
  <c r="AJ4911" i="2"/>
  <c r="AF4912" i="2"/>
  <c r="AK4912" i="2" s="1"/>
  <c r="AG4912" i="2"/>
  <c r="AH4912" i="2"/>
  <c r="AI4912" i="2"/>
  <c r="AJ4912" i="2"/>
  <c r="AF4913" i="2"/>
  <c r="AK4913" i="2" s="1"/>
  <c r="AL4913" i="2" s="1"/>
  <c r="AG4913" i="2"/>
  <c r="AH4913" i="2"/>
  <c r="AI4913" i="2"/>
  <c r="AJ4913" i="2"/>
  <c r="AF4914" i="2"/>
  <c r="AK4914" i="2" s="1"/>
  <c r="AG4914" i="2"/>
  <c r="AH4914" i="2"/>
  <c r="AI4914" i="2"/>
  <c r="AJ4914" i="2"/>
  <c r="AF4915" i="2"/>
  <c r="AK4915" i="2" s="1"/>
  <c r="AG4915" i="2"/>
  <c r="AH4915" i="2"/>
  <c r="AL4915" i="2" s="1"/>
  <c r="AI4915" i="2"/>
  <c r="AJ4915" i="2"/>
  <c r="AF4916" i="2"/>
  <c r="AK4916" i="2"/>
  <c r="AG4916" i="2"/>
  <c r="AH4916" i="2"/>
  <c r="AI4916" i="2"/>
  <c r="AJ4916" i="2"/>
  <c r="AF4917" i="2"/>
  <c r="AK4917" i="2"/>
  <c r="AG4917" i="2"/>
  <c r="AH4917" i="2"/>
  <c r="AI4917" i="2"/>
  <c r="AJ4917" i="2"/>
  <c r="AF4918" i="2"/>
  <c r="AK4918" i="2"/>
  <c r="AG4918" i="2"/>
  <c r="AL4918" i="2" s="1"/>
  <c r="AH4918" i="2"/>
  <c r="AI4918" i="2"/>
  <c r="AJ4918" i="2"/>
  <c r="AF4919" i="2"/>
  <c r="AK4919" i="2"/>
  <c r="AG4919" i="2"/>
  <c r="AH4919" i="2"/>
  <c r="AL4919" i="2"/>
  <c r="AI4919" i="2"/>
  <c r="AJ4919" i="2"/>
  <c r="AF4920" i="2"/>
  <c r="AK4920" i="2" s="1"/>
  <c r="AL4920" i="2" s="1"/>
  <c r="AG4920" i="2"/>
  <c r="AH4920" i="2"/>
  <c r="AI4920" i="2"/>
  <c r="AJ4920" i="2"/>
  <c r="AF4921" i="2"/>
  <c r="AK4921" i="2" s="1"/>
  <c r="AG4921" i="2"/>
  <c r="AH4921" i="2"/>
  <c r="AL4921" i="2" s="1"/>
  <c r="AI4921" i="2"/>
  <c r="AJ4921" i="2"/>
  <c r="AF4922" i="2"/>
  <c r="AK4922" i="2" s="1"/>
  <c r="AL4922" i="2" s="1"/>
  <c r="AG4922" i="2"/>
  <c r="AH4922" i="2"/>
  <c r="AI4922" i="2"/>
  <c r="AJ4922" i="2"/>
  <c r="AF4923" i="2"/>
  <c r="AK4923" i="2" s="1"/>
  <c r="AG4923" i="2"/>
  <c r="AL4923" i="2" s="1"/>
  <c r="AH4923" i="2"/>
  <c r="AI4923" i="2"/>
  <c r="AJ4923" i="2"/>
  <c r="AF4924" i="2"/>
  <c r="AK4924" i="2" s="1"/>
  <c r="AG4924" i="2"/>
  <c r="AH4924" i="2"/>
  <c r="AI4924" i="2"/>
  <c r="AJ4924" i="2"/>
  <c r="AF4925" i="2"/>
  <c r="AK4925" i="2"/>
  <c r="AG4925" i="2"/>
  <c r="AH4925" i="2"/>
  <c r="AI4925" i="2"/>
  <c r="AL4925" i="2" s="1"/>
  <c r="AJ4925" i="2"/>
  <c r="AF4926" i="2"/>
  <c r="AK4926" i="2"/>
  <c r="AG4926" i="2"/>
  <c r="AH4926" i="2"/>
  <c r="AI4926" i="2"/>
  <c r="AJ4926" i="2"/>
  <c r="AF4927" i="2"/>
  <c r="AK4927" i="2"/>
  <c r="AG4927" i="2"/>
  <c r="AL4927" i="2" s="1"/>
  <c r="AH4927" i="2"/>
  <c r="AI4927" i="2"/>
  <c r="AJ4927" i="2"/>
  <c r="AF4928" i="2"/>
  <c r="AK4928" i="2" s="1"/>
  <c r="AG4928" i="2"/>
  <c r="AL4928" i="2" s="1"/>
  <c r="AH4928" i="2"/>
  <c r="AI4928" i="2"/>
  <c r="AJ4928" i="2"/>
  <c r="AF4929" i="2"/>
  <c r="AK4929" i="2"/>
  <c r="AG4929" i="2"/>
  <c r="AL4929" i="2" s="1"/>
  <c r="AH4929" i="2"/>
  <c r="AI4929" i="2"/>
  <c r="AJ4929" i="2"/>
  <c r="AF4930" i="2"/>
  <c r="AK4930" i="2"/>
  <c r="AG4930" i="2"/>
  <c r="AL4930" i="2" s="1"/>
  <c r="AH4930" i="2"/>
  <c r="AI4930" i="2"/>
  <c r="AJ4930" i="2"/>
  <c r="AF4931" i="2"/>
  <c r="AK4931" i="2"/>
  <c r="AG4931" i="2"/>
  <c r="AH4931" i="2"/>
  <c r="AI4931" i="2"/>
  <c r="AJ4931" i="2"/>
  <c r="AF4932" i="2"/>
  <c r="AK4932" i="2"/>
  <c r="AG4932" i="2"/>
  <c r="AL4932" i="2" s="1"/>
  <c r="AH4932" i="2"/>
  <c r="AI4932" i="2"/>
  <c r="AJ4932" i="2"/>
  <c r="AF4933" i="2"/>
  <c r="AK4933" i="2" s="1"/>
  <c r="AL4933" i="2" s="1"/>
  <c r="AG4933" i="2"/>
  <c r="AH4933" i="2"/>
  <c r="AI4933" i="2"/>
  <c r="AJ4933" i="2"/>
  <c r="AF4934" i="2"/>
  <c r="AK4934" i="2" s="1"/>
  <c r="AL4934" i="2" s="1"/>
  <c r="AG4934" i="2"/>
  <c r="AH4934" i="2"/>
  <c r="AI4934" i="2"/>
  <c r="AJ4934" i="2"/>
  <c r="AF4935" i="2"/>
  <c r="AK4935" i="2" s="1"/>
  <c r="AL4935" i="2" s="1"/>
  <c r="AG4935" i="2"/>
  <c r="AH4935" i="2"/>
  <c r="AI4935" i="2"/>
  <c r="AJ4935" i="2"/>
  <c r="AF4936" i="2"/>
  <c r="AK4936" i="2" s="1"/>
  <c r="AG4936" i="2"/>
  <c r="AL4936" i="2" s="1"/>
  <c r="AH4936" i="2"/>
  <c r="AI4936" i="2"/>
  <c r="AJ4936" i="2"/>
  <c r="AF4937" i="2"/>
  <c r="AK4937" i="2" s="1"/>
  <c r="AL4937" i="2" s="1"/>
  <c r="AG4937" i="2"/>
  <c r="AH4937" i="2"/>
  <c r="AI4937" i="2"/>
  <c r="AJ4937" i="2"/>
  <c r="AF4938" i="2"/>
  <c r="AK4938" i="2" s="1"/>
  <c r="AG4938" i="2"/>
  <c r="AL4938" i="2" s="1"/>
  <c r="AH4938" i="2"/>
  <c r="AI4938" i="2"/>
  <c r="AJ4938" i="2"/>
  <c r="AF4939" i="2"/>
  <c r="AK4939" i="2" s="1"/>
  <c r="AL4939" i="2" s="1"/>
  <c r="AG4939" i="2"/>
  <c r="AH4939" i="2"/>
  <c r="AI4939" i="2"/>
  <c r="AJ4939" i="2"/>
  <c r="AF4940" i="2"/>
  <c r="AK4940" i="2" s="1"/>
  <c r="AG4940" i="2"/>
  <c r="AH4940" i="2"/>
  <c r="AI4940" i="2"/>
  <c r="AJ4940" i="2"/>
  <c r="AF4941" i="2"/>
  <c r="AK4941" i="2"/>
  <c r="AG4941" i="2"/>
  <c r="AH4941" i="2"/>
  <c r="AL4941" i="2" s="1"/>
  <c r="AI4941" i="2"/>
  <c r="AJ4941" i="2"/>
  <c r="AF4942" i="2"/>
  <c r="AK4942" i="2" s="1"/>
  <c r="AL4942" i="2" s="1"/>
  <c r="AG4942" i="2"/>
  <c r="AH4942" i="2"/>
  <c r="AI4942" i="2"/>
  <c r="AJ4942" i="2"/>
  <c r="AF4943" i="2"/>
  <c r="AK4943" i="2"/>
  <c r="AG4943" i="2"/>
  <c r="AH4943" i="2"/>
  <c r="AI4943" i="2"/>
  <c r="AJ4943" i="2"/>
  <c r="AL4943" i="2" s="1"/>
  <c r="AF4944" i="2"/>
  <c r="AK4944" i="2"/>
  <c r="AG4944" i="2"/>
  <c r="AL4944" i="2" s="1"/>
  <c r="AH4944" i="2"/>
  <c r="AI4944" i="2"/>
  <c r="AJ4944" i="2"/>
  <c r="AF4945" i="2"/>
  <c r="AK4945" i="2"/>
  <c r="AG4945" i="2"/>
  <c r="AL4945" i="2" s="1"/>
  <c r="AH4945" i="2"/>
  <c r="AI4945" i="2"/>
  <c r="AJ4945" i="2"/>
  <c r="AF4946" i="2"/>
  <c r="AK4946" i="2"/>
  <c r="AG4946" i="2"/>
  <c r="AL4946" i="2" s="1"/>
  <c r="AH4946" i="2"/>
  <c r="AI4946" i="2"/>
  <c r="AJ4946" i="2"/>
  <c r="AF4947" i="2"/>
  <c r="AK4947" i="2" s="1"/>
  <c r="AG4947" i="2"/>
  <c r="AH4947" i="2"/>
  <c r="AI4947" i="2"/>
  <c r="AJ4947" i="2"/>
  <c r="AF4948" i="2"/>
  <c r="AK4948" i="2" s="1"/>
  <c r="AL4948" i="2" s="1"/>
  <c r="AG4948" i="2"/>
  <c r="AH4948" i="2"/>
  <c r="AI4948" i="2"/>
  <c r="AJ4948" i="2"/>
  <c r="AF4949" i="2"/>
  <c r="AK4949" i="2" s="1"/>
  <c r="AG4949" i="2"/>
  <c r="AL4949" i="2" s="1"/>
  <c r="AH4949" i="2"/>
  <c r="AI4949" i="2"/>
  <c r="AJ4949" i="2"/>
  <c r="AF4950" i="2"/>
  <c r="AK4950" i="2" s="1"/>
  <c r="AG4950" i="2"/>
  <c r="AH4950" i="2"/>
  <c r="AI4950" i="2"/>
  <c r="AJ4950" i="2"/>
  <c r="AF4951" i="2"/>
  <c r="AK4951" i="2"/>
  <c r="AG4951" i="2"/>
  <c r="AH4951" i="2"/>
  <c r="AI4951" i="2"/>
  <c r="AL4951" i="2" s="1"/>
  <c r="AJ4951" i="2"/>
  <c r="AF4952" i="2"/>
  <c r="AG4952" i="2"/>
  <c r="AH4952" i="2"/>
  <c r="AI4952" i="2"/>
  <c r="AJ4952" i="2"/>
  <c r="AK4952" i="2"/>
  <c r="AF4953" i="2"/>
  <c r="AK4953" i="2"/>
  <c r="AG4953" i="2"/>
  <c r="AH4953" i="2"/>
  <c r="AI4953" i="2"/>
  <c r="AL4953" i="2" s="1"/>
  <c r="AJ4953" i="2"/>
  <c r="AF4954" i="2"/>
  <c r="AK4954" i="2"/>
  <c r="AG4954" i="2"/>
  <c r="AL4954" i="2" s="1"/>
  <c r="AH4954" i="2"/>
  <c r="AI4954" i="2"/>
  <c r="AJ4954" i="2"/>
  <c r="AF4955" i="2"/>
  <c r="AK4955" i="2" s="1"/>
  <c r="AL4955" i="2" s="1"/>
  <c r="AG4955" i="2"/>
  <c r="AH4955" i="2"/>
  <c r="AI4955" i="2"/>
  <c r="AJ4955" i="2"/>
  <c r="AF4956" i="2"/>
  <c r="AK4956" i="2" s="1"/>
  <c r="AL4956" i="2" s="1"/>
  <c r="AG4956" i="2"/>
  <c r="AH4956" i="2"/>
  <c r="AI4956" i="2"/>
  <c r="AJ4956" i="2"/>
  <c r="AF4957" i="2"/>
  <c r="AK4957" i="2" s="1"/>
  <c r="AL4957" i="2" s="1"/>
  <c r="AG4957" i="2"/>
  <c r="AH4957" i="2"/>
  <c r="AI4957" i="2"/>
  <c r="AJ4957" i="2"/>
  <c r="AF4958" i="2"/>
  <c r="AK4958" i="2"/>
  <c r="AG4958" i="2"/>
  <c r="AH4958" i="2"/>
  <c r="AI4958" i="2"/>
  <c r="AJ4958" i="2"/>
  <c r="AL4958" i="2" s="1"/>
  <c r="AF4959" i="2"/>
  <c r="AK4959" i="2"/>
  <c r="AG4959" i="2"/>
  <c r="AL4959" i="2" s="1"/>
  <c r="AH4959" i="2"/>
  <c r="AI4959" i="2"/>
  <c r="AJ4959" i="2"/>
  <c r="AF4960" i="2"/>
  <c r="AK4960" i="2"/>
  <c r="AG4960" i="2"/>
  <c r="AH4960" i="2"/>
  <c r="AI4960" i="2"/>
  <c r="AJ4960" i="2"/>
  <c r="AF4961" i="2"/>
  <c r="AK4961" i="2"/>
  <c r="AG4961" i="2"/>
  <c r="AL4961" i="2" s="1"/>
  <c r="AH4961" i="2"/>
  <c r="AI4961" i="2"/>
  <c r="AJ4961" i="2"/>
  <c r="AF4962" i="2"/>
  <c r="AK4962" i="2"/>
  <c r="AG4962" i="2"/>
  <c r="AL4962" i="2" s="1"/>
  <c r="AH4962" i="2"/>
  <c r="AI4962" i="2"/>
  <c r="AJ4962" i="2"/>
  <c r="AF4963" i="2"/>
  <c r="AK4963" i="2"/>
  <c r="AG4963" i="2"/>
  <c r="AL4963" i="2" s="1"/>
  <c r="AH4963" i="2"/>
  <c r="AI4963" i="2"/>
  <c r="AJ4963" i="2"/>
  <c r="AF4964" i="2"/>
  <c r="AK4964" i="2" s="1"/>
  <c r="AG4964" i="2"/>
  <c r="AH4964" i="2"/>
  <c r="AI4964" i="2"/>
  <c r="AJ4964" i="2"/>
  <c r="AF4965" i="2"/>
  <c r="AK4965" i="2" s="1"/>
  <c r="AG4965" i="2"/>
  <c r="AH4965" i="2"/>
  <c r="AI4965" i="2"/>
  <c r="AJ4965" i="2"/>
  <c r="AF4966" i="2"/>
  <c r="AK4966" i="2" s="1"/>
  <c r="AG4966" i="2"/>
  <c r="AL4966" i="2" s="1"/>
  <c r="AH4966" i="2"/>
  <c r="AI4966" i="2"/>
  <c r="AJ4966" i="2"/>
  <c r="AF4967" i="2"/>
  <c r="AK4967" i="2" s="1"/>
  <c r="AL4967" i="2" s="1"/>
  <c r="AG4967" i="2"/>
  <c r="AH4967" i="2"/>
  <c r="AI4967" i="2"/>
  <c r="AJ4967" i="2"/>
  <c r="AF4968" i="2"/>
  <c r="AK4968" i="2"/>
  <c r="AG4968" i="2"/>
  <c r="AH4968" i="2"/>
  <c r="AL4968" i="2" s="1"/>
  <c r="AI4968" i="2"/>
  <c r="AJ4968" i="2"/>
  <c r="AF4969" i="2"/>
  <c r="AK4969" i="2" s="1"/>
  <c r="AL4969" i="2" s="1"/>
  <c r="AG4969" i="2"/>
  <c r="AH4969" i="2"/>
  <c r="AI4969" i="2"/>
  <c r="AJ4969" i="2"/>
  <c r="AF4970" i="2"/>
  <c r="AK4970" i="2" s="1"/>
  <c r="AL4970" i="2" s="1"/>
  <c r="AG4970" i="2"/>
  <c r="AH4970" i="2"/>
  <c r="AI4970" i="2"/>
  <c r="AJ4970" i="2"/>
  <c r="AF4971" i="2"/>
  <c r="AK4971" i="2"/>
  <c r="AG4971" i="2"/>
  <c r="AL4971" i="2" s="1"/>
  <c r="AH4971" i="2"/>
  <c r="AI4971" i="2"/>
  <c r="AJ4971" i="2"/>
  <c r="AF4972" i="2"/>
  <c r="AK4972" i="2"/>
  <c r="AG4972" i="2"/>
  <c r="AH4972" i="2"/>
  <c r="AL4972" i="2" s="1"/>
  <c r="AI4972" i="2"/>
  <c r="AJ4972" i="2"/>
  <c r="AF4973" i="2"/>
  <c r="AK4973" i="2" s="1"/>
  <c r="AG4973" i="2"/>
  <c r="AH4973" i="2"/>
  <c r="AI4973" i="2"/>
  <c r="AJ4973" i="2"/>
  <c r="AF4974" i="2"/>
  <c r="AK4974" i="2" s="1"/>
  <c r="AL4974" i="2" s="1"/>
  <c r="AG4974" i="2"/>
  <c r="AH4974" i="2"/>
  <c r="AI4974" i="2"/>
  <c r="AJ4974" i="2"/>
  <c r="AF4975" i="2"/>
  <c r="AK4975" i="2" s="1"/>
  <c r="AL4975" i="2" s="1"/>
  <c r="AG4975" i="2"/>
  <c r="AH4975" i="2"/>
  <c r="AI4975" i="2"/>
  <c r="AJ4975" i="2"/>
  <c r="AF4976" i="2"/>
  <c r="AK4976" i="2" s="1"/>
  <c r="AL4976" i="2" s="1"/>
  <c r="AG4976" i="2"/>
  <c r="AH4976" i="2"/>
  <c r="AI4976" i="2"/>
  <c r="AJ4976" i="2"/>
  <c r="AF4977" i="2"/>
  <c r="AK4977" i="2" s="1"/>
  <c r="AG4977" i="2"/>
  <c r="AL4977" i="2" s="1"/>
  <c r="AH4977" i="2"/>
  <c r="AI4977" i="2"/>
  <c r="AJ4977" i="2"/>
  <c r="AF4978" i="2"/>
  <c r="AK4978" i="2"/>
  <c r="AG4978" i="2"/>
  <c r="AL4978" i="2" s="1"/>
  <c r="AH4978" i="2"/>
  <c r="AI4978" i="2"/>
  <c r="AJ4978" i="2"/>
  <c r="AF4979" i="2"/>
  <c r="AK4979" i="2" s="1"/>
  <c r="AG4979" i="2"/>
  <c r="AH4979" i="2"/>
  <c r="AL4979" i="2" s="1"/>
  <c r="AI4979" i="2"/>
  <c r="AJ4979" i="2"/>
  <c r="AF4980" i="2"/>
  <c r="AK4980" i="2" s="1"/>
  <c r="AL4980" i="2" s="1"/>
  <c r="AG4980" i="2"/>
  <c r="AH4980" i="2"/>
  <c r="AI4980" i="2"/>
  <c r="AJ4980" i="2"/>
  <c r="AF4981" i="2"/>
  <c r="AK4981" i="2" s="1"/>
  <c r="AG4981" i="2"/>
  <c r="AH4981" i="2"/>
  <c r="AI4981" i="2"/>
  <c r="AJ4981" i="2"/>
  <c r="AF4982" i="2"/>
  <c r="AK4982" i="2" s="1"/>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s="1"/>
  <c r="AG4986" i="2"/>
  <c r="AH4986" i="2"/>
  <c r="AI4986" i="2"/>
  <c r="AJ4986" i="2"/>
  <c r="AF4987" i="2"/>
  <c r="AK4987" i="2" s="1"/>
  <c r="AG4987" i="2"/>
  <c r="AL4987" i="2" s="1"/>
  <c r="AH4987" i="2"/>
  <c r="AI4987" i="2"/>
  <c r="AJ4987" i="2"/>
  <c r="AF4988" i="2"/>
  <c r="AK4988" i="2"/>
  <c r="AL4988" i="2" s="1"/>
  <c r="AG4988" i="2"/>
  <c r="AH4988" i="2"/>
  <c r="AI4988" i="2"/>
  <c r="AJ4988" i="2"/>
  <c r="AF4989" i="2"/>
  <c r="AK4989" i="2" s="1"/>
  <c r="AL4989" i="2" s="1"/>
  <c r="AG4989" i="2"/>
  <c r="AH4989" i="2"/>
  <c r="AI4989" i="2"/>
  <c r="AJ4989" i="2"/>
  <c r="AF4990" i="2"/>
  <c r="AK4990" i="2" s="1"/>
  <c r="AG4990" i="2"/>
  <c r="AH4990" i="2"/>
  <c r="AI4990" i="2"/>
  <c r="AJ4990" i="2"/>
  <c r="AF4991" i="2"/>
  <c r="AK4991" i="2"/>
  <c r="AG4991" i="2"/>
  <c r="AH4991" i="2"/>
  <c r="AI4991" i="2"/>
  <c r="AL4991" i="2" s="1"/>
  <c r="AJ4991" i="2"/>
  <c r="AF4992" i="2"/>
  <c r="AK4992" i="2"/>
  <c r="AL4992" i="2" s="1"/>
  <c r="AG4992" i="2"/>
  <c r="AH4992" i="2"/>
  <c r="AI4992" i="2"/>
  <c r="AJ4992" i="2"/>
  <c r="AF4993" i="2"/>
  <c r="AK4993" i="2"/>
  <c r="AG4993" i="2"/>
  <c r="AL4993" i="2" s="1"/>
  <c r="AH4993" i="2"/>
  <c r="AI4993" i="2"/>
  <c r="AJ4993" i="2"/>
  <c r="AF4994" i="2"/>
  <c r="AK4994" i="2" s="1"/>
  <c r="AL4994" i="2" s="1"/>
  <c r="AG4994" i="2"/>
  <c r="AH4994" i="2"/>
  <c r="AI4994" i="2"/>
  <c r="AJ4994" i="2"/>
  <c r="AF4995" i="2"/>
  <c r="AK4995" i="2" s="1"/>
  <c r="AG4995" i="2"/>
  <c r="AH4995" i="2"/>
  <c r="AI4995" i="2"/>
  <c r="AJ4995" i="2"/>
  <c r="AF4996" i="2"/>
  <c r="AK4996" i="2" s="1"/>
  <c r="AL4996" i="2" s="1"/>
  <c r="AG4996" i="2"/>
  <c r="AH4996" i="2"/>
  <c r="AI4996" i="2"/>
  <c r="AJ4996" i="2"/>
  <c r="AF4997" i="2"/>
  <c r="AK4997" i="2"/>
  <c r="AG4997" i="2"/>
  <c r="AH4997" i="2"/>
  <c r="AI4997" i="2"/>
  <c r="AL4997" i="2" s="1"/>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64" i="2"/>
  <c r="AL3651" i="2"/>
  <c r="AL3632" i="2"/>
  <c r="AL3600" i="2"/>
  <c r="AL3587" i="2"/>
  <c r="AL3568" i="2"/>
  <c r="AL3536" i="2"/>
  <c r="AL3512" i="2"/>
  <c r="AL3459" i="2"/>
  <c r="AL3448"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0" i="2"/>
  <c r="AL2346" i="2"/>
  <c r="AL3520" i="2"/>
  <c r="AL3351" i="2"/>
  <c r="AL3287" i="2"/>
  <c r="AL3275" i="2"/>
  <c r="AL3264"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491" i="2"/>
  <c r="AL3427"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85" i="2"/>
  <c r="AL3177"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13" i="2"/>
  <c r="AL2905" i="2"/>
  <c r="AL2897" i="2"/>
  <c r="AL2889" i="2"/>
  <c r="AL2881" i="2"/>
  <c r="AL2873" i="2"/>
  <c r="AL2865" i="2"/>
  <c r="AL2857" i="2"/>
  <c r="AL2849" i="2"/>
  <c r="AL2841" i="2"/>
  <c r="AL2825" i="2"/>
  <c r="AL2817" i="2"/>
  <c r="AL2809" i="2"/>
  <c r="AL2801" i="2"/>
  <c r="AL2793"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28" i="2"/>
  <c r="AL3420" i="2"/>
  <c r="AL3412" i="2"/>
  <c r="AL3404" i="2"/>
  <c r="AL3396" i="2"/>
  <c r="AL3388" i="2"/>
  <c r="AL3380" i="2"/>
  <c r="AL3372" i="2"/>
  <c r="AL3364" i="2"/>
  <c r="AL3356" i="2"/>
  <c r="AL3348" i="2"/>
  <c r="AL3340" i="2"/>
  <c r="AL3332" i="2"/>
  <c r="AL3324" i="2"/>
  <c r="AL3276" i="2"/>
  <c r="AL3268" i="2"/>
  <c r="AL3260" i="2"/>
  <c r="AL3252" i="2"/>
  <c r="AL3244" i="2"/>
  <c r="AL3228" i="2"/>
  <c r="AL3204" i="2"/>
  <c r="AL3180"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88" i="2"/>
  <c r="AL2780"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87" i="2"/>
  <c r="AL79" i="2"/>
  <c r="AL71" i="2"/>
  <c r="AL63" i="2"/>
  <c r="AL55" i="2"/>
  <c r="AL47" i="2"/>
  <c r="AL39" i="2"/>
  <c r="AL89" i="2"/>
  <c r="AL81" i="2"/>
  <c r="AL73" i="2"/>
  <c r="AL65" i="2"/>
  <c r="AL57" i="2"/>
  <c r="AL49" i="2"/>
  <c r="AL41" i="2"/>
  <c r="AL75" i="2"/>
  <c r="AL67" i="2"/>
  <c r="AL59" i="2"/>
  <c r="AL51" i="2"/>
  <c r="AL43" i="2"/>
  <c r="AL35" i="2"/>
  <c r="AM17" i="2"/>
  <c r="AM16" i="2"/>
  <c r="AM15" i="2"/>
  <c r="AM14" i="2"/>
  <c r="AM13" i="2"/>
  <c r="AL4796" i="2"/>
  <c r="AL4551" i="2"/>
  <c r="AL4575" i="2"/>
  <c r="AL4512" i="2"/>
  <c r="AL4541" i="2"/>
  <c r="AL4509" i="2"/>
  <c r="AL4665" i="2"/>
  <c r="AL4329" i="2"/>
  <c r="AL4268" i="2"/>
  <c r="AL4200"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32" i="2"/>
  <c r="AL4027" i="2"/>
  <c r="AL4012" i="2"/>
  <c r="AL3996" i="2"/>
  <c r="AL3980" i="2"/>
  <c r="AL4339" i="2"/>
  <c r="AL4312" i="2"/>
  <c r="AL4201" i="2"/>
  <c r="AL4144" i="2"/>
  <c r="AL4137" i="2"/>
  <c r="AL4080" i="2"/>
  <c r="AL4067" i="2"/>
  <c r="AL4060" i="2"/>
  <c r="AL4049" i="2"/>
  <c r="AL4028" i="2"/>
  <c r="AL4417" i="2"/>
  <c r="AL4316" i="2"/>
  <c r="AL4299" i="2"/>
  <c r="AL4284" i="2"/>
  <c r="AL4273" i="2"/>
  <c r="AL4245" i="2"/>
  <c r="AL4232" i="2"/>
  <c r="AL4223" i="2"/>
  <c r="AL4188" i="2"/>
  <c r="AL4124" i="2"/>
  <c r="AL4104" i="2"/>
  <c r="AL4095" i="2"/>
  <c r="AL4016" i="2"/>
  <c r="AL4000" i="2"/>
  <c r="AL3984" i="2"/>
  <c r="AL3968" i="2"/>
  <c r="AL4369" i="2"/>
  <c r="AL4355" i="2"/>
  <c r="AL4247" i="2"/>
  <c r="AL4243" i="2"/>
  <c r="AL4185" i="2"/>
  <c r="AL4183" i="2"/>
  <c r="AL4179" i="2"/>
  <c r="AL4121" i="2"/>
  <c r="AL4119" i="2"/>
  <c r="AL4115" i="2"/>
  <c r="AL4040" i="2"/>
  <c r="AL4469" i="2"/>
  <c r="AL4401" i="2"/>
  <c r="AL4336" i="2"/>
  <c r="AL4313" i="2"/>
  <c r="AL4281" i="2"/>
  <c r="AL4275" i="2"/>
  <c r="AL4229" i="2"/>
  <c r="AL4216" i="2"/>
  <c r="AL4209" i="2"/>
  <c r="AL4207" i="2"/>
  <c r="AL4203" i="2"/>
  <c r="AL4172" i="2"/>
  <c r="AL4152" i="2"/>
  <c r="AL4139" i="2"/>
  <c r="AL4108" i="2"/>
  <c r="AL4088" i="2"/>
  <c r="AL4020" i="2"/>
  <c r="AL4004" i="2"/>
  <c r="AL3988" i="2"/>
  <c r="AL3972" i="2"/>
  <c r="AL3930" i="2"/>
  <c r="AL3924" i="2"/>
  <c r="AL3893" i="2"/>
  <c r="AL3849" i="2"/>
  <c r="AL3842" i="2"/>
  <c r="AL3829" i="2"/>
  <c r="AL3822" i="2"/>
  <c r="AL3820" i="2"/>
  <c r="AL3788" i="2"/>
  <c r="AL3770" i="2"/>
  <c r="AL3766" i="2"/>
  <c r="AL3759" i="2"/>
  <c r="AL3733"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645" i="2"/>
  <c r="AL3567" i="2"/>
  <c r="AL3263" i="2"/>
  <c r="AL3194" i="2"/>
  <c r="AL3962" i="2"/>
  <c r="AL3921" i="2"/>
  <c r="AL3917" i="2"/>
  <c r="AL3898" i="2"/>
  <c r="AL3861" i="2"/>
  <c r="AL3852" i="2"/>
  <c r="AL3817" i="2"/>
  <c r="AL3797" i="2"/>
  <c r="AL3746" i="2"/>
  <c r="AL3742"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0" i="2"/>
  <c r="AL3908" i="2"/>
  <c r="AL3858" i="2"/>
  <c r="AL3845" i="2"/>
  <c r="AL3838" i="2"/>
  <c r="AL3836" i="2"/>
  <c r="AL3801" i="2"/>
  <c r="AL3784" i="2"/>
  <c r="AL3718" i="2"/>
  <c r="AL3565" i="2"/>
  <c r="AL3362" i="2"/>
  <c r="AL3296" i="2"/>
  <c r="AL3243" i="2"/>
  <c r="AL3199" i="2"/>
  <c r="AL3175" i="2"/>
  <c r="AL4034" i="2"/>
  <c r="AL3945" i="2"/>
  <c r="AL3916" i="2"/>
  <c r="AL3860" i="2"/>
  <c r="AL3796" i="2"/>
  <c r="AL3792" i="2"/>
  <c r="AL3780" i="2"/>
  <c r="AL3756"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5070" i="2"/>
  <c r="AL5130" i="2"/>
  <c r="AL241" i="2"/>
  <c r="AL187" i="2"/>
  <c r="AL160" i="2"/>
  <c r="AL5009" i="2"/>
  <c r="AL5029" i="2"/>
  <c r="AL5123" i="2"/>
  <c r="AL222" i="2"/>
  <c r="AL208" i="2"/>
  <c r="AL174" i="2"/>
  <c r="AL66" i="2"/>
  <c r="AL56" i="2"/>
  <c r="AL5005" i="2"/>
  <c r="AL5049" i="2"/>
  <c r="AL5066" i="2"/>
  <c r="AL5132" i="2"/>
  <c r="AL5158" i="2"/>
  <c r="AL5190" i="2"/>
  <c r="AL4885" i="2"/>
  <c r="AL4759" i="2"/>
  <c r="AL4748" i="2"/>
  <c r="AL4711" i="2"/>
  <c r="AL4434" i="2"/>
  <c r="AL4829" i="2"/>
  <c r="AL4558" i="2"/>
  <c r="AL4818" i="2"/>
  <c r="AL4697" i="2"/>
  <c r="AL4447" i="2"/>
  <c r="AL4393" i="2"/>
  <c r="AL4272" i="2"/>
  <c r="AL4215" i="2"/>
  <c r="AL4169" i="2"/>
  <c r="AL4163" i="2"/>
  <c r="AL4109" i="2"/>
  <c r="AL4086" i="2"/>
  <c r="AL4051" i="2"/>
  <c r="AL3935" i="2"/>
  <c r="AL3897" i="2"/>
  <c r="AL3803" i="2"/>
  <c r="AL3776" i="2"/>
  <c r="AL4573" i="2"/>
  <c r="AL4221" i="2"/>
  <c r="AL4135" i="2"/>
  <c r="AL3862" i="2"/>
  <c r="AL4126" i="2"/>
  <c r="AL4335" i="2"/>
  <c r="AL4436" i="2"/>
  <c r="AL4226" i="2"/>
  <c r="AL4219" i="2"/>
  <c r="AL4193" i="2"/>
  <c r="AL4158" i="2"/>
  <c r="AL4130" i="2"/>
  <c r="AL3812" i="2"/>
  <c r="AL3777" i="2"/>
  <c r="AL4378" i="2"/>
  <c r="AL4314" i="2"/>
  <c r="AL4310" i="2"/>
  <c r="AL4266" i="2"/>
  <c r="AL4118" i="2"/>
  <c r="AL4077" i="2"/>
  <c r="AL3973" i="2"/>
  <c r="AL4282" i="2"/>
  <c r="AL4267" i="2"/>
  <c r="AL4242" i="2"/>
  <c r="AL3940" i="2"/>
  <c r="AL3844" i="2"/>
  <c r="AL4287" i="2"/>
  <c r="AL4283" i="2"/>
  <c r="AL4255" i="2"/>
  <c r="AL4251" i="2"/>
  <c r="AL4211" i="2"/>
  <c r="AL3959" i="2"/>
  <c r="AL3782" i="2"/>
  <c r="AL3319" i="2"/>
  <c r="AL2971" i="2"/>
  <c r="AL4021" i="2"/>
  <c r="AL4013" i="2"/>
  <c r="AL3964" i="2"/>
  <c r="AL3960" i="2"/>
  <c r="AL3813" i="2"/>
  <c r="AL3720" i="2"/>
  <c r="AL2775" i="2"/>
  <c r="AL2711" i="2"/>
  <c r="AL2565" i="2"/>
  <c r="AL3576" i="2"/>
  <c r="AL3840" i="2"/>
  <c r="AL3818" i="2"/>
  <c r="AL373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489" i="2"/>
  <c r="AL4324" i="2"/>
  <c r="AL4278" i="2"/>
  <c r="AL4225" i="2"/>
  <c r="AL4141" i="2"/>
  <c r="AL4813" i="2"/>
  <c r="AL4433" i="2"/>
  <c r="AL4303" i="2"/>
  <c r="AL3843" i="2"/>
  <c r="AL4654" i="2"/>
  <c r="AL4501" i="2"/>
  <c r="AL4466" i="2"/>
  <c r="AL4960" i="2"/>
  <c r="AL4756" i="2"/>
  <c r="AL4738" i="2"/>
  <c r="AL4734" i="2"/>
  <c r="AL4724" i="2"/>
  <c r="AL4644" i="2"/>
  <c r="AL4494" i="2"/>
  <c r="AL4454" i="2"/>
  <c r="AL4431" i="2"/>
  <c r="AL4345" i="2"/>
  <c r="AL4007" i="2"/>
  <c r="AL3986" i="2"/>
  <c r="AL4804" i="2"/>
  <c r="AL4798" i="2"/>
  <c r="AL4736" i="2"/>
  <c r="AL4684" i="2"/>
  <c r="AL4633" i="2"/>
  <c r="AL4571" i="2"/>
  <c r="AL4549" i="2"/>
  <c r="AL4461" i="2"/>
  <c r="AL4439" i="2"/>
  <c r="AL4365" i="2"/>
  <c r="AL4262" i="2"/>
  <c r="AL4166" i="2"/>
  <c r="AL4142" i="2"/>
  <c r="AL3824" i="2"/>
  <c r="AL3659" i="2"/>
  <c r="AL4386" i="2"/>
  <c r="AL4359"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48" i="2"/>
  <c r="AL4344" i="2"/>
  <c r="AL4317" i="2"/>
  <c r="AL4206" i="2"/>
  <c r="AL4189" i="2"/>
  <c r="AL4150" i="2"/>
  <c r="AL4127" i="2"/>
  <c r="AL4003" i="2"/>
  <c r="AL3967" i="2"/>
  <c r="AL3934" i="2"/>
  <c r="AL3918" i="2"/>
  <c r="AL3785" i="2"/>
  <c r="AL4191" i="2"/>
  <c r="AL4187" i="2"/>
  <c r="AL4164" i="2"/>
  <c r="AL4160" i="2"/>
  <c r="AL4128" i="2"/>
  <c r="AL4025" i="2"/>
  <c r="AL3919" i="2"/>
  <c r="AL3831" i="2"/>
  <c r="AL3811" i="2"/>
  <c r="AL3779" i="2"/>
  <c r="AL3772" i="2"/>
  <c r="AL3765" i="2"/>
  <c r="AL3747" i="2"/>
  <c r="AL3711" i="2"/>
  <c r="AL3488" i="2"/>
  <c r="AL3322" i="2"/>
  <c r="AL4180" i="2"/>
  <c r="AL4148" i="2"/>
  <c r="AL4113" i="2"/>
  <c r="AL4047" i="2"/>
  <c r="AL4011" i="2"/>
  <c r="AL3995"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699" i="2"/>
  <c r="AL3519" i="2"/>
  <c r="AL3226" i="2"/>
  <c r="AL4198" i="2"/>
  <c r="AL4102" i="2"/>
  <c r="AL4057" i="2"/>
  <c r="AL3931" i="2"/>
  <c r="AL3911" i="2"/>
  <c r="AL3907"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388" i="2"/>
  <c r="AL4917" i="2"/>
  <c r="AL4716" i="2"/>
  <c r="AL4601" i="2"/>
  <c r="AL4396" i="2"/>
  <c r="AL4952" i="2"/>
  <c r="AL4668" i="2"/>
  <c r="AL4611" i="2"/>
  <c r="AL4591" i="2"/>
  <c r="AL4332" i="2"/>
  <c r="AL4750" i="2"/>
  <c r="AL4636" i="2"/>
  <c r="AL4518" i="2"/>
  <c r="AL4837" i="2"/>
  <c r="AL4835" i="2"/>
  <c r="AL4629" i="2"/>
  <c r="AL4533" i="2"/>
  <c r="AL4334" i="2"/>
  <c r="AL4233" i="2"/>
  <c r="AL4670" i="2"/>
  <c r="AL4931" i="2"/>
  <c r="AL4802" i="2"/>
  <c r="AL4688" i="2"/>
  <c r="AL4516" i="2"/>
  <c r="AL4503" i="2"/>
  <c r="AL4445" i="2"/>
  <c r="AL4346" i="2"/>
  <c r="AL4443" i="2"/>
  <c r="AL4253" i="2"/>
  <c r="AL4171" i="2"/>
  <c r="AL4154" i="2"/>
  <c r="AL4132" i="2"/>
  <c r="AL4093" i="2"/>
  <c r="AL3985" i="2"/>
  <c r="AL3975" i="2"/>
  <c r="AL3839" i="2"/>
  <c r="AL3802" i="2"/>
  <c r="AL3478" i="2"/>
  <c r="AL3416" i="2"/>
  <c r="AL4177" i="2"/>
  <c r="AL4090" i="2"/>
  <c r="AL3938" i="2"/>
  <c r="AL3886" i="2"/>
  <c r="AL4073" i="2"/>
  <c r="AL4024" i="2"/>
  <c r="AL3952" i="2"/>
  <c r="AL3833" i="2"/>
  <c r="AL3826"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435" i="2"/>
  <c r="AL4429" i="2"/>
  <c r="AL4218" i="2"/>
  <c r="AL4099" i="2"/>
  <c r="AL3949" i="2"/>
  <c r="AL3941" i="2"/>
  <c r="AL3868" i="2"/>
  <c r="AL3854" i="2"/>
  <c r="AL3847" i="2"/>
  <c r="AL3789" i="2"/>
  <c r="AL3732" i="2"/>
  <c r="AL3700" i="2"/>
  <c r="AL3549" i="2"/>
  <c r="AL3514" i="2"/>
  <c r="AL3317" i="2"/>
  <c r="AL3258" i="2"/>
  <c r="AL3249" i="2"/>
  <c r="AL2945" i="2"/>
  <c r="AL3355" i="2"/>
  <c r="AL3314" i="2"/>
  <c r="AL3236" i="2"/>
  <c r="AL3383" i="2"/>
  <c r="AL3282" i="2"/>
  <c r="AL3230" i="2"/>
  <c r="AL3139" i="2"/>
  <c r="AL3400" i="2"/>
  <c r="AL3318" i="2"/>
  <c r="AL3312" i="2"/>
  <c r="AL3211" i="2"/>
  <c r="AL3250" i="2"/>
  <c r="AL3131" i="2"/>
  <c r="AL3111" i="2"/>
  <c r="AL3346" i="2"/>
  <c r="AL3101" i="2"/>
  <c r="AL2703" i="2"/>
  <c r="AL3112" i="2"/>
  <c r="AL2655" i="2"/>
  <c r="AL2647" i="2"/>
  <c r="AL2501" i="2"/>
  <c r="AL2495" i="2"/>
  <c r="AL2218" i="2"/>
  <c r="AL2111" i="2"/>
  <c r="AL2399" i="2"/>
  <c r="AL2359" i="2"/>
  <c r="AL2317"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M7" i="2"/>
  <c r="AM6" i="2"/>
  <c r="AM10" i="2"/>
  <c r="AM8" i="2"/>
  <c r="AL4797" i="2"/>
  <c r="AL4858" i="2"/>
  <c r="AL4853" i="2"/>
  <c r="AL4785" i="2"/>
  <c r="AL4895" i="2"/>
  <c r="AL4545" i="2"/>
  <c r="AL4385" i="2"/>
  <c r="AL4298" i="2"/>
  <c r="AL4143" i="2"/>
  <c r="AL4083" i="2"/>
  <c r="AL4035" i="2"/>
  <c r="AL3999" i="2"/>
  <c r="AL3979" i="2"/>
  <c r="AL3969" i="2"/>
  <c r="AL3798" i="2"/>
  <c r="AL3744" i="2"/>
  <c r="AL3546" i="2"/>
  <c r="AL3523" i="2"/>
  <c r="AL4366" i="2"/>
  <c r="AL4321" i="2"/>
  <c r="AL4234" i="2"/>
  <c r="AL4167" i="2"/>
  <c r="AL4153" i="2"/>
  <c r="AL4110" i="2"/>
  <c r="AL4096" i="2"/>
  <c r="AL4217" i="2"/>
  <c r="AL4030" i="2"/>
  <c r="AL3880" i="2"/>
  <c r="AL3877" i="2"/>
  <c r="AL3787" i="2"/>
  <c r="AL3563" i="2"/>
  <c r="AL4399" i="2"/>
  <c r="AL4352" i="2"/>
  <c r="AL4165" i="2"/>
  <c r="AL4134" i="2"/>
  <c r="AL4053" i="2"/>
  <c r="AL4037" i="2"/>
  <c r="AL3957" i="2"/>
  <c r="AL4315" i="2"/>
  <c r="AL4277" i="2"/>
  <c r="AL4196" i="2"/>
  <c r="AL3981" i="2"/>
  <c r="AL3888" i="2"/>
  <c r="AL3881" i="2"/>
  <c r="AL4496" i="2"/>
  <c r="AL4481" i="2"/>
  <c r="AL4456" i="2"/>
  <c r="AL4146" i="2"/>
  <c r="AL3321" i="2"/>
  <c r="AL3114" i="2"/>
  <c r="AL2915" i="2"/>
  <c r="AL2899" i="2"/>
  <c r="AL3513" i="2"/>
  <c r="AL2811" i="2"/>
  <c r="AL3292" i="2"/>
  <c r="AL3115" i="2"/>
  <c r="AL3075" i="2"/>
  <c r="AL2819"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16" i="2"/>
  <c r="AL4840" i="2"/>
  <c r="AL4779" i="2"/>
  <c r="AL4771" i="2"/>
  <c r="AL4719" i="2"/>
  <c r="AL4556" i="2"/>
  <c r="AL4515" i="2"/>
  <c r="AL4926" i="2"/>
  <c r="AL4896" i="2"/>
  <c r="AL4874" i="2"/>
  <c r="AL4871" i="2"/>
  <c r="AL4821" i="2"/>
  <c r="AL4772" i="2"/>
  <c r="AL4730" i="2"/>
  <c r="AL4647" i="2"/>
  <c r="AL4588" i="2"/>
  <c r="AL4843" i="2"/>
  <c r="AL4825" i="2"/>
  <c r="AL4811" i="2"/>
  <c r="AL4806" i="2"/>
  <c r="AL4789" i="2"/>
  <c r="AL4766" i="2"/>
  <c r="AL4594" i="2"/>
  <c r="AL4550" i="2"/>
  <c r="AL4452" i="2"/>
  <c r="AL4894" i="2"/>
  <c r="AL4686" i="2"/>
  <c r="AL4580" i="2"/>
  <c r="AL4548" i="2"/>
  <c r="AL4522" i="2"/>
  <c r="AL4848" i="2"/>
  <c r="AL4819" i="2"/>
  <c r="AL4770" i="2"/>
  <c r="AL4689" i="2"/>
  <c r="AL4623" i="2"/>
  <c r="AL4619" i="2"/>
  <c r="AL4586" i="2"/>
  <c r="AL4577" i="2"/>
  <c r="AL4555" i="2"/>
  <c r="AL4650" i="2"/>
  <c r="AL4572" i="2"/>
  <c r="AL4554" i="2"/>
  <c r="AL4529" i="2"/>
  <c r="AL4525" i="2"/>
  <c r="AL4412" i="2"/>
  <c r="AL4404" i="2"/>
  <c r="AL4394" i="2"/>
  <c r="AL4375" i="2"/>
  <c r="AL4254" i="2"/>
  <c r="AL4632" i="2"/>
  <c r="AL4543" i="2"/>
  <c r="AL4526" i="2"/>
  <c r="AL4671" i="2"/>
  <c r="AL4500" i="2"/>
  <c r="AL4446" i="2"/>
  <c r="AL4419" i="2"/>
  <c r="AL4382" i="2"/>
  <c r="AL4367" i="2"/>
  <c r="AL4362" i="2"/>
  <c r="AL4236" i="2"/>
  <c r="AL4125" i="2"/>
  <c r="AL4678" i="2"/>
  <c r="AL4643" i="2"/>
  <c r="AL4442" i="2"/>
  <c r="AL4427" i="2"/>
  <c r="AL4413" i="2"/>
  <c r="AL4288" i="2"/>
  <c r="AL4614" i="2"/>
  <c r="AL4566" i="2"/>
  <c r="AL4240" i="2"/>
  <c r="AL4592" i="2"/>
  <c r="AL4470" i="2"/>
  <c r="AL4100" i="2"/>
  <c r="AL4486" i="2"/>
  <c r="AL4479" i="2"/>
  <c r="AL4425" i="2"/>
  <c r="AL4414" i="2"/>
  <c r="AL4411" i="2"/>
  <c r="AL4400" i="2"/>
  <c r="AL4381" i="2"/>
  <c r="AL4325" i="2"/>
  <c r="AL4302" i="2"/>
  <c r="AL4290" i="2"/>
  <c r="AL4210" i="2"/>
  <c r="AL4178" i="2"/>
  <c r="AL4246" i="2"/>
  <c r="AL4212" i="2"/>
  <c r="AL4079" i="2"/>
  <c r="AL4292" i="2"/>
  <c r="AL4276" i="2"/>
  <c r="AL4087" i="2"/>
  <c r="AL4005" i="2"/>
  <c r="AL3963" i="2"/>
  <c r="AL3939" i="2"/>
  <c r="AL3853" i="2"/>
  <c r="AL3762" i="2"/>
  <c r="AL3680" i="2"/>
  <c r="AL4358" i="2"/>
  <c r="AL4220" i="2"/>
  <c r="AL4066" i="2"/>
  <c r="AL3851" i="2"/>
  <c r="AL3661" i="2"/>
  <c r="AL3333" i="2"/>
  <c r="AL435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33" i="2" l="1"/>
  <c r="AM33" i="2" s="1"/>
  <c r="AL32" i="2"/>
  <c r="AM32" i="2" s="1"/>
  <c r="AL31" i="2"/>
  <c r="AM31" i="2" s="1"/>
  <c r="AL30" i="2"/>
  <c r="AM30" i="2" s="1"/>
  <c r="AL29" i="2"/>
  <c r="AM29" i="2" s="1"/>
  <c r="AL27" i="2"/>
  <c r="AM27" i="2" s="1"/>
  <c r="AL26" i="2"/>
  <c r="AL25" i="2"/>
  <c r="AL24" i="2"/>
  <c r="AM24" i="2" s="1"/>
  <c r="AL23" i="2"/>
  <c r="AM23" i="2" s="1"/>
  <c r="AL22" i="2"/>
  <c r="AM22" i="2" s="1"/>
  <c r="AL21" i="2"/>
  <c r="AM21" i="2" s="1"/>
  <c r="AL20" i="2"/>
  <c r="AM20" i="2" s="1"/>
  <c r="AL19" i="2"/>
  <c r="AM19" i="2" s="1"/>
  <c r="AL18" i="2"/>
  <c r="AM18" i="2" s="1"/>
  <c r="AL17" i="2"/>
  <c r="AL16" i="2"/>
  <c r="AL15" i="2"/>
  <c r="AL13" i="2"/>
  <c r="AL12" i="2"/>
  <c r="AM12" i="2" s="1"/>
  <c r="AL11" i="2"/>
  <c r="AM11" i="2" s="1"/>
  <c r="AL10" i="2"/>
  <c r="AL9" i="2"/>
  <c r="AL8" i="2"/>
  <c r="AL6" i="2"/>
  <c r="AL4995" i="2"/>
  <c r="AL4986" i="2"/>
  <c r="AL4940" i="2"/>
  <c r="AL4887" i="2"/>
  <c r="AL4904" i="2"/>
  <c r="AL4891" i="2"/>
  <c r="AL4878" i="2"/>
  <c r="AL4990" i="2"/>
  <c r="AL4981" i="2"/>
  <c r="AL4965" i="2"/>
  <c r="AL4924" i="2"/>
  <c r="AL4950" i="2"/>
  <c r="AL4947" i="2"/>
  <c r="AL4912" i="2"/>
  <c r="AL4973" i="2"/>
  <c r="AL4964" i="2"/>
  <c r="AL4914" i="2"/>
  <c r="AL4737" i="2"/>
  <c r="AL4849" i="2"/>
  <c r="AL4815" i="2"/>
  <c r="AL4792" i="2"/>
  <c r="AL4741" i="2"/>
  <c r="AL4691" i="2"/>
  <c r="AL4666" i="2"/>
  <c r="AL4661" i="2"/>
  <c r="AL4655" i="2"/>
  <c r="AL4653" i="2"/>
  <c r="AL4634" i="2"/>
  <c r="AL4596" i="2"/>
  <c r="AL4569" i="2"/>
  <c r="AL4521" i="2"/>
  <c r="AL4497" i="2"/>
  <c r="AL4463" i="2"/>
  <c r="AL4430" i="2"/>
  <c r="AL4256" i="2"/>
  <c r="AL3936" i="2"/>
  <c r="AL3695" i="2"/>
  <c r="AL4845" i="2"/>
  <c r="AL4763" i="2"/>
  <c r="AL4755" i="2"/>
  <c r="AL4747" i="2"/>
  <c r="AL4745" i="2"/>
  <c r="AL4722" i="2"/>
  <c r="AL4672" i="2"/>
  <c r="AL4627" i="2"/>
  <c r="AL4621" i="2"/>
  <c r="AL4505" i="2"/>
  <c r="AL4495" i="2"/>
  <c r="AL4465" i="2"/>
  <c r="AL4448" i="2"/>
  <c r="AL4870" i="2"/>
  <c r="AL4857" i="2"/>
  <c r="AL4839" i="2"/>
  <c r="AL4701" i="2"/>
  <c r="AL4657" i="2"/>
  <c r="AL4640" i="2"/>
  <c r="AL4585" i="2"/>
  <c r="AL4507" i="2"/>
  <c r="AL4477" i="2"/>
  <c r="AL4450" i="2"/>
  <c r="AL4827" i="2"/>
  <c r="AL4765" i="2"/>
  <c r="AL4705" i="2"/>
  <c r="AL4608" i="2"/>
  <c r="AL4204" i="2"/>
  <c r="AL4795" i="2"/>
  <c r="AL4787" i="2"/>
  <c r="AL4781" i="2"/>
  <c r="AL4777" i="2"/>
  <c r="AL4732" i="2"/>
  <c r="AL4728" i="2"/>
  <c r="AL4726" i="2"/>
  <c r="AL4709" i="2"/>
  <c r="AL4699" i="2"/>
  <c r="AL4652" i="2"/>
  <c r="AL4648" i="2"/>
  <c r="AL4488" i="2"/>
  <c r="AL4791" i="2"/>
  <c r="AL4717" i="2"/>
  <c r="AL4462" i="2"/>
  <c r="AL4696" i="2"/>
  <c r="AL4694" i="2"/>
  <c r="AL4692" i="2"/>
  <c r="AL4667" i="2"/>
  <c r="AL4511" i="2"/>
  <c r="AL4483" i="2"/>
  <c r="AL4257" i="2"/>
  <c r="AL4854" i="2"/>
  <c r="AL4812" i="2"/>
  <c r="AL4740" i="2"/>
  <c r="AL4673" i="2"/>
  <c r="AL4639" i="2"/>
  <c r="AL4637" i="2"/>
  <c r="AL4584" i="2"/>
  <c r="AL4578" i="2"/>
  <c r="AL4538" i="2"/>
  <c r="AL4530" i="2"/>
  <c r="AL4524" i="2"/>
  <c r="AL4517" i="2"/>
  <c r="AL4464" i="2"/>
  <c r="AL4408" i="2"/>
  <c r="AL4828" i="2"/>
  <c r="AL4803" i="2"/>
  <c r="AL4782" i="2"/>
  <c r="AL4776" i="2"/>
  <c r="AL4774" i="2"/>
  <c r="AL4768" i="2"/>
  <c r="AL4683" i="2"/>
  <c r="AL4651" i="2"/>
  <c r="AL4628" i="2"/>
  <c r="AL4472" i="2"/>
  <c r="AL4457" i="2"/>
  <c r="AL4444" i="2"/>
  <c r="AL4424" i="2"/>
  <c r="AL4420" i="2"/>
  <c r="AL4323" i="2"/>
  <c r="AL4873" i="2"/>
  <c r="AL4801" i="2"/>
  <c r="AL4788" i="2"/>
  <c r="AL4731" i="2"/>
  <c r="AL4708" i="2"/>
  <c r="AL4681" i="2"/>
  <c r="AL4557" i="2"/>
  <c r="AL4491" i="2"/>
  <c r="AL4437" i="2"/>
  <c r="AL4116" i="2"/>
  <c r="AL3872" i="2"/>
  <c r="AL4391" i="2"/>
  <c r="AL4271" i="2"/>
  <c r="AL4260" i="2"/>
  <c r="AL4131" i="2"/>
  <c r="AL3856" i="2"/>
  <c r="AL3835" i="2"/>
  <c r="AL3757" i="2"/>
  <c r="AL3676" i="2"/>
  <c r="AL3616" i="2"/>
  <c r="AL3506" i="2"/>
  <c r="AL3414" i="2"/>
  <c r="AL3320" i="2"/>
  <c r="AL4380" i="2"/>
  <c r="AL4252" i="2"/>
  <c r="AL4114" i="2"/>
  <c r="AL4081" i="2"/>
  <c r="AL3953" i="2"/>
  <c r="AL3535" i="2"/>
  <c r="AL2767" i="2"/>
  <c r="AL4438" i="2"/>
  <c r="AL4304" i="2"/>
  <c r="AL4122" i="2"/>
  <c r="AL4101" i="2"/>
  <c r="AL4075" i="2"/>
  <c r="AL3993" i="2"/>
  <c r="AL3884" i="2"/>
  <c r="AL3493" i="2"/>
  <c r="AL3353" i="2"/>
  <c r="AL4415" i="2"/>
  <c r="AL4397" i="2"/>
  <c r="AL4208" i="2"/>
  <c r="AL4195" i="2"/>
  <c r="AL3989" i="2"/>
  <c r="AL3740" i="2"/>
  <c r="AL3710" i="2"/>
  <c r="AL4403" i="2"/>
  <c r="AL4318" i="2"/>
  <c r="AL4306" i="2"/>
  <c r="AL4199" i="2"/>
  <c r="AL4186" i="2"/>
  <c r="AL4182" i="2"/>
  <c r="AL4105" i="2"/>
  <c r="AL3927" i="2"/>
  <c r="AL4390" i="2"/>
  <c r="AL4383" i="2"/>
  <c r="AL4322" i="2"/>
  <c r="AL4280" i="2"/>
  <c r="AL4270" i="2"/>
  <c r="AL4259" i="2"/>
  <c r="AL4072" i="2"/>
  <c r="AL3956" i="2"/>
  <c r="AL3804" i="2"/>
  <c r="AL3775" i="2"/>
  <c r="AL3630" i="2"/>
  <c r="AL3628" i="2"/>
  <c r="AL3515" i="2"/>
  <c r="AL3465" i="2"/>
  <c r="AL3443" i="2"/>
  <c r="AL3439" i="2"/>
  <c r="AL3447" i="2"/>
  <c r="AL4426" i="2"/>
  <c r="AL4301" i="2"/>
  <c r="AL4194" i="2"/>
  <c r="AL4192" i="2"/>
  <c r="AL4190" i="2"/>
  <c r="AL4117" i="2"/>
  <c r="AL3899" i="2"/>
  <c r="AL3883" i="2"/>
  <c r="AL3827" i="2"/>
  <c r="AL3810" i="2"/>
  <c r="AL3774" i="2"/>
  <c r="AL3743" i="2"/>
  <c r="AL3709" i="2"/>
  <c r="AL3683" i="2"/>
  <c r="AL3494" i="2"/>
  <c r="AL2624" i="2"/>
  <c r="AL2673" i="2"/>
  <c r="AL2663" i="2"/>
  <c r="AL2637" i="2"/>
  <c r="AL2544" i="2"/>
  <c r="AL2476" i="2"/>
  <c r="AL2799" i="2"/>
  <c r="AL2454" i="2"/>
  <c r="AL2690" i="2"/>
  <c r="AL2584" i="2"/>
  <c r="AL2482" i="2"/>
  <c r="AL2939" i="2"/>
  <c r="AL2557" i="2"/>
  <c r="AL3018" i="2"/>
  <c r="AL2630" i="2"/>
  <c r="AL2606" i="2"/>
  <c r="AL2923" i="2"/>
  <c r="AL2689" i="2"/>
  <c r="AL3255" i="2"/>
  <c r="AL3212" i="2"/>
  <c r="AL2968" i="2"/>
  <c r="AL2545" i="2"/>
  <c r="AL2522" i="2"/>
  <c r="AL2320" i="2"/>
  <c r="AL2295" i="2"/>
  <c r="AL2204" i="2"/>
  <c r="AL2151" i="2"/>
  <c r="AL2406" i="2"/>
  <c r="AL2398" i="2"/>
  <c r="AL2390" i="2"/>
  <c r="AL2264" i="2"/>
  <c r="AL2199" i="2"/>
  <c r="AL2462" i="2"/>
  <c r="AL2191" i="2"/>
  <c r="AL1590" i="2"/>
  <c r="AL2446" i="2"/>
  <c r="AL2430" i="2"/>
  <c r="AL2004" i="2"/>
  <c r="AL2184" i="2"/>
  <c r="AL2384" i="2"/>
  <c r="AL2224" i="2"/>
  <c r="AL2216" i="2"/>
  <c r="AL2124" i="2"/>
  <c r="AL2263" i="2"/>
  <c r="AL2255" i="2"/>
  <c r="AL1971" i="2"/>
  <c r="AL1544" i="2"/>
  <c r="AL1343" i="2"/>
  <c r="AL1224" i="2"/>
  <c r="AL1633" i="2"/>
  <c r="AL1486" i="2"/>
  <c r="AL947" i="2"/>
  <c r="AL925" i="2"/>
  <c r="AL1789" i="2"/>
  <c r="AL1103" i="2"/>
  <c r="AL1093" i="2"/>
  <c r="AL1275" i="2"/>
  <c r="AL1173" i="2"/>
  <c r="AL950" i="2"/>
  <c r="AL998" i="2"/>
  <c r="AL597" i="2"/>
  <c r="AL48" i="2"/>
  <c r="AL169" i="2"/>
  <c r="AL324" i="2"/>
  <c r="AL253" i="2"/>
  <c r="AL5057" i="2"/>
  <c r="AL297" i="2"/>
  <c r="AL17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<sst xmlns="http://schemas.openxmlformats.org/spreadsheetml/2006/main" count="497" uniqueCount="181">
  <si>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</si>
  <si>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</si>
  <si>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</si>
  <si>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</si>
  <si>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</si>
  <si>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</si>
  <si>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</si>
  <si>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</si>
  <si>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</si>
  <si>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</si>
  <si>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</si>
  <si>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</si>
  <si>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</si>
  <si>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</si>
  <si>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</si>
  <si>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</si>
  <si>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</si>
  <si>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</si>
  <si>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</si>
  <si>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</si>
  <si>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</si>
  <si>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</si>
  <si>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</si>
  <si>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</si>
  <si>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</si>
  <si>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</si>
  <si>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</si>
  <si>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</si>
  <si>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</si>
  <si>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</si>
  <si>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</si>
  <si>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</si>
  <si>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</si>
  <si>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</si>
  <si>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</si>
  <si>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</si>
  <si>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</si>
  <si>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</si>
  <si>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</si>
  <si>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</si>
  <si>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</si>
  <si>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</si>
  <si>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</si>
  <si>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</si>
  <si>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</si>
  <si>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</si>
  <si>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</si>
  <si>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</si>
  <si>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</si>
  <si>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</si>
  <si>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</si>
  <si>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</si>
  <si>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</si>
  <si>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</si>
  <si>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</si>
  <si>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</si>
  <si>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</si>
  <si>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</si>
  <si>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</si>
  <si>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</si>
  <si>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</si>
  <si>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</si>
  <si>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</si>
  <si>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</si>
  <si>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</si>
  <si>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</si>
  <si>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</si>
  <si>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</si>
  <si>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</si>
  <si>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</si>
  <si>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</si>
  <si>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</si>
  <si>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</si>
  <si>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</si>
  <si>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</si>
  <si>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</si>
  <si>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</si>
  <si>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</si>
  <si>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</si>
  <si>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</si>
  <si>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</si>
  <si>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</si>
  <si>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</si>
  <si>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</si>
  <si>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</si>
  <si>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</si>
  <si>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</si>
  <si>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</si>
  <si>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</si>
  <si>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</si>
  <si>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</si>
  <si>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</si>
  <si>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</si>
  <si>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Tributary to Buck Creek</t>
  </si>
  <si>
    <t>Buck Flats FSR</t>
  </si>
  <si>
    <t>Closed Bottom Structure</t>
  </si>
  <si>
    <t>Round Culvert</t>
  </si>
  <si>
    <t>No</t>
  </si>
  <si>
    <t>Yes</t>
  </si>
  <si>
    <t>Deep Fill</t>
  </si>
  <si>
    <t>High</t>
  </si>
  <si>
    <t>Replace with New Open Bottom Structure</t>
  </si>
  <si>
    <t>Large tributary on section of tributary connected to salmon bearing Buck Creek.  Fish rising in outlet pool (estimated 130mm).  Some cattle access points downstream.  Habitat confirmation conducted at this site.</t>
  </si>
  <si>
    <t>KP, AI</t>
  </si>
  <si>
    <t>Parrot FSR</t>
  </si>
  <si>
    <t>Open Bottom Structure</t>
  </si>
  <si>
    <t>Pipe Arch</t>
  </si>
  <si>
    <t>Spur off Parrot FSR</t>
  </si>
  <si>
    <t>Other</t>
  </si>
  <si>
    <t>Ford</t>
  </si>
  <si>
    <t>Ford.  No issues.</t>
  </si>
  <si>
    <t>Buck Creek</t>
  </si>
  <si>
    <t>Goosley North Rd</t>
  </si>
  <si>
    <t>Bridge</t>
  </si>
  <si>
    <t>Bridge.</t>
  </si>
  <si>
    <t>Newly constructed passable structure.</t>
  </si>
  <si>
    <t>R216960010</t>
  </si>
  <si>
    <t>Medium</t>
  </si>
  <si>
    <t>Replace Structure with Streambed Simulation CBS</t>
  </si>
  <si>
    <t>Stream drains Sam Lake.  Old log bridge type stucture tha is collaping with round culvert inserted.  Pipe contains beaver debris. Wetland habitat upstream.</t>
  </si>
  <si>
    <t>Carrier FSR</t>
  </si>
  <si>
    <t>Low</t>
  </si>
  <si>
    <t>Suspect no fish.  Multiple fish survey sites located downstream.  Dry at time of survey.</t>
  </si>
  <si>
    <t>Balsam FSR</t>
  </si>
  <si>
    <t>Bridge. No issues.</t>
  </si>
  <si>
    <t>Bob Creek</t>
  </si>
  <si>
    <t>Bob Creek FSR</t>
  </si>
  <si>
    <t>Tributary to Goosly Lake</t>
  </si>
  <si>
    <t>McInnes Creek</t>
  </si>
  <si>
    <t>Unnamed</t>
  </si>
  <si>
    <t>Perow Creek</t>
  </si>
  <si>
    <t>Perow Loop Rd</t>
  </si>
  <si>
    <t xml:space="preserve">Private land.  Channelized downstream with concrete slab riprap in place. Private driveway is crossing 1801071 upstream. </t>
  </si>
  <si>
    <t>Good flow. Stream likley has inventory information. Should check with Canfor.</t>
  </si>
  <si>
    <t>Highway 16</t>
  </si>
  <si>
    <t xml:space="preserve">Small ditch likely modified due to adjacent agriculture.  Culvert fully passabel at the time of the survey because backwatered 100%.  Grasses around inlet and outlet make locating the culvert challenging. </t>
  </si>
  <si>
    <t>Tributary to Bulkley River</t>
  </si>
  <si>
    <t xml:space="preserve">Possible value for coho rearing.  Downstream CNRail crossing could not be located at time of assessment.  Tire at inlet. </t>
  </si>
  <si>
    <t>Culvert is likely as passable as natural channel for all species and life stages at most flows.</t>
  </si>
  <si>
    <t>Byman Creek</t>
  </si>
  <si>
    <t>Oval Culvert</t>
  </si>
  <si>
    <t>Culvert is likely as passable for most species and life stages at most non-peak and non-lowest flows. Streamkeepers have observed fry moving through culvert in overwintering studies.</t>
  </si>
  <si>
    <t>CN Railway</t>
  </si>
  <si>
    <t>Concrete Box</t>
  </si>
  <si>
    <t>Appears passable. No concerns.</t>
  </si>
  <si>
    <t>Perow Station Rd</t>
  </si>
  <si>
    <t>Private bridge approximately 30 upstrea of confulence with Byman Creek.</t>
  </si>
  <si>
    <t>Richfield Creek</t>
  </si>
  <si>
    <t>Habitat confirmation completed.</t>
  </si>
  <si>
    <t>Johnny David Creek</t>
  </si>
  <si>
    <t>Habitat confirmation and sampling completed.</t>
  </si>
  <si>
    <t>Habitat confirmation and minnowtrapping completed.</t>
  </si>
  <si>
    <t>Barren Creek</t>
  </si>
  <si>
    <t>Date on structure is 1934.  Two pipes presetn but only one of two pipes functional at time of survey.  Functonal pipe is apparently collapsing.  Oxidized ooze at outlet of eastern dewatered pipe.</t>
  </si>
  <si>
    <t xml:space="preserve">Helps Creek </t>
  </si>
  <si>
    <t>Passable and fully backwatered structure.  Landowner reports that lamprey (~40cm x 20) at crossing inside of the culvert in the past.</t>
  </si>
  <si>
    <t>Moan Creek</t>
  </si>
  <si>
    <t>Approximately 17m from the outlet to the Bulkley River.</t>
  </si>
  <si>
    <t xml:space="preserve">Coffin Creek </t>
  </si>
  <si>
    <t xml:space="preserve">CN crossing has had Newbury riffles constructed to decrease the size of the outlet drop but drop still present. Abundant gravels suitable for spawning chinook and coho present. Some deep pools available for fry/parr overwintering. </t>
  </si>
  <si>
    <t>Riddeck Creek</t>
  </si>
  <si>
    <t xml:space="preserve">Private </t>
  </si>
  <si>
    <t>Extensive rearing habitat and gravels suitable for spawning.  Stream eventually flows into top end of Owen Lake.</t>
  </si>
  <si>
    <t>Bulkley_6-288_Phase1</t>
  </si>
  <si>
    <t>Bulkley River Watershed Fish Passage Restoration Phase 1 - 2020</t>
  </si>
  <si>
    <t>00180607</t>
  </si>
  <si>
    <t>Al Irvine</t>
  </si>
  <si>
    <t>250-777-1518</t>
  </si>
  <si>
    <t>al@newgraphenvironment.com</t>
  </si>
  <si>
    <t>186987</t>
  </si>
  <si>
    <t>OTHER</t>
  </si>
  <si>
    <t>MoTi local</t>
  </si>
  <si>
    <t>FLNR Nadina 9772</t>
  </si>
  <si>
    <t>NA</t>
  </si>
  <si>
    <t>Canfor R10460</t>
  </si>
  <si>
    <t>MoTi unclassified</t>
  </si>
  <si>
    <t>FLNR Nadina 9486</t>
  </si>
  <si>
    <t>FLNR Nadina 10157</t>
  </si>
  <si>
    <t>MoTi highway</t>
  </si>
  <si>
    <t>Canadian National</t>
  </si>
  <si>
    <t>unclassified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</si>
</sst>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3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xf numFmtId="0" fontId="0" fillId="10" borderId="0" xfId="0" applyFill="1" applyAlignment="1" applyProtection="1"/>
    <xf numFmtId="0" fontId="0" fillId="0" borderId="0" xfId="0" applyFill="1" applyProtection="1">
      <protection locked="0"/>
    </xf>
    <xf numFmtId="2" fontId="0" fillId="0" borderId="0" xfId="0" applyNumberFormat="1" applyFill="1" applyProtection="1">
      <protection locked="0"/>
    </xf>
    <xf numFmtId="0" fontId="0" fillId="0" borderId="0" xfId="0" applyFill="1" applyAlignment="1" applyProtection="1">
      <alignment wrapText="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G11" sqref="G11"/>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163</v>
      </c>
    </row>
    <row r="5" spans="1:20" x14ac:dyDescent="0.25">
      <c r="A5" s="4" t="s">
        <v>58</v>
      </c>
      <c r="B5" t="s">
        <v>164</v>
      </c>
    </row>
    <row r="6" spans="1:20" x14ac:dyDescent="0.25">
      <c r="A6" s="4"/>
      <c r="B6" s="118"/>
    </row>
    <row r="7" spans="1:20" x14ac:dyDescent="0.25">
      <c r="A7" s="4" t="s">
        <v>86</v>
      </c>
      <c r="B7" s="119" t="s">
        <v>165</v>
      </c>
    </row>
    <row r="8" spans="1:20" x14ac:dyDescent="0.25">
      <c r="A8" s="4" t="s">
        <v>73</v>
      </c>
      <c r="B8" t="s">
        <v>166</v>
      </c>
    </row>
    <row r="9" spans="1:20" x14ac:dyDescent="0.25">
      <c r="A9" s="4" t="s">
        <v>74</v>
      </c>
      <c r="B9" t="s">
        <v>167</v>
      </c>
    </row>
    <row r="10" spans="1:20" x14ac:dyDescent="0.25">
      <c r="A10" s="4" t="s">
        <v>75</v>
      </c>
      <c r="B10" s="120" t="s">
        <v>168</v>
      </c>
    </row>
    <row r="11" spans="1:20" x14ac:dyDescent="0.25">
      <c r="A11" s="4"/>
      <c r="B11" s="118"/>
    </row>
    <row r="12" spans="1:20" x14ac:dyDescent="0.25">
      <c r="A12" s="4" t="s">
        <v>36</v>
      </c>
      <c r="B12" s="119" t="s">
        <v>169</v>
      </c>
    </row>
    <row r="13" spans="1:20" x14ac:dyDescent="0.25">
      <c r="A13" s="4" t="s">
        <v>37</v>
      </c>
      <c r="B13" t="s">
        <v>166</v>
      </c>
    </row>
    <row r="14" spans="1:20" x14ac:dyDescent="0.25">
      <c r="A14" s="4" t="s">
        <v>38</v>
      </c>
      <c r="B14" t="s">
        <v>167</v>
      </c>
    </row>
    <row r="15" spans="1:20" x14ac:dyDescent="0.25">
      <c r="A15" s="4" t="s">
        <v>39</v>
      </c>
      <c r="B15" s="120" t="s">
        <v>168</v>
      </c>
    </row>
    <row r="16" spans="1:20" x14ac:dyDescent="0.25">
      <c r="A16" s="4"/>
      <c r="B16" s="118"/>
    </row>
    <row r="17" spans="1:2" x14ac:dyDescent="0.25">
      <c r="A17" s="4" t="s">
        <v>40</v>
      </c>
      <c r="B17">
        <v>20000</v>
      </c>
    </row>
    <row r="18" spans="1:2" x14ac:dyDescent="0.25">
      <c r="A18" s="4" t="s">
        <v>41</v>
      </c>
      <c r="B18" t="s">
        <v>170</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B1" zoomScale="85" zoomScaleNormal="85" workbookViewId="0">
      <pane ySplit="4" topLeftCell="A23" activePane="bottomLeft" state="frozen"/>
      <selection pane="bottomLeft" activeCell="AP44" sqref="AP44"/>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44069</v>
      </c>
      <c r="B5" s="112"/>
      <c r="C5" s="116">
        <v>1800092</v>
      </c>
      <c r="D5" s="116" t="s">
        <v>92</v>
      </c>
      <c r="E5" s="77">
        <v>9</v>
      </c>
      <c r="F5" s="53">
        <v>654311.97754660703</v>
      </c>
      <c r="G5" s="51">
        <v>6012382.7118395399</v>
      </c>
      <c r="H5" s="11" t="s">
        <v>93</v>
      </c>
      <c r="I5" s="11" t="s">
        <v>94</v>
      </c>
      <c r="J5" s="104"/>
      <c r="K5" s="11" t="s">
        <v>171</v>
      </c>
      <c r="L5" s="116" t="s">
        <v>95</v>
      </c>
      <c r="M5" s="116" t="s">
        <v>96</v>
      </c>
      <c r="N5" s="109">
        <v>1.5</v>
      </c>
      <c r="O5" s="109">
        <v>12</v>
      </c>
      <c r="P5" s="116" t="s">
        <v>97</v>
      </c>
      <c r="Q5" s="121"/>
      <c r="R5" s="116" t="s">
        <v>97</v>
      </c>
      <c r="S5" s="116" t="s">
        <v>97</v>
      </c>
      <c r="T5" s="121"/>
      <c r="U5" s="116">
        <v>1</v>
      </c>
      <c r="V5" s="116">
        <v>0.4</v>
      </c>
      <c r="W5" s="116">
        <v>1.2</v>
      </c>
      <c r="X5" s="116" t="s">
        <v>97</v>
      </c>
      <c r="Y5" s="116">
        <v>1.49</v>
      </c>
      <c r="Z5" s="116">
        <v>5.0999999999999996</v>
      </c>
      <c r="AA5" s="116">
        <v>3</v>
      </c>
      <c r="AB5" s="115" t="s">
        <v>97</v>
      </c>
      <c r="AC5" s="115" t="s">
        <v>98</v>
      </c>
      <c r="AD5" s="116" t="s">
        <v>99</v>
      </c>
      <c r="AE5" s="116" t="s">
        <v>100</v>
      </c>
      <c r="AF5" s="22">
        <f>IF(ISBLANK(Z5), 0, IF(ISBLANK(N5) &lt; 0, 0,Z5 / N5))</f>
        <v>3.4</v>
      </c>
      <c r="AG5" s="15">
        <f>IF(O5&lt;15,0,IF(AND(O5&gt;=15,O5&lt;30),3,IF(O5&gt;=30,6,0)))</f>
        <v>0</v>
      </c>
      <c r="AH5" s="7">
        <f>IF(P5 = "No", 10, IF(ISBLANK(N5), 0, IF(ISBLANK(Q5), 0, IF(OR(Q5 / N5 &lt;= 0.2, Q5 &lt; 0.3), 5, IF(OR(Q5 / N5 &gt;= 0.2, Q5 &gt;= 0.3), 0)))))</f>
        <v>10</v>
      </c>
      <c r="AI5" s="7">
        <f>IF(V5&lt;0.15,0,IF(AND(V5&gt;=0.15,V5&lt;0.3),5,IF(V5&gt;=0.3,10,0)))</f>
        <v>10</v>
      </c>
      <c r="AJ5" s="7">
        <f>IF(Y5&lt;1,0,IF(AND(Y5&gt;=1,Y5&lt;3),5,IF(Y5&gt;=3,10,0)))</f>
        <v>5</v>
      </c>
      <c r="AK5" s="12">
        <f>IF(AF5&lt;1,0,IF(AND(AF5&gt;=1,AF5&lt;1.3),3,IF(AF5&gt;=1.3,6,0)))</f>
        <v>6</v>
      </c>
      <c r="AL5" s="14">
        <f>AG5 + AH5 + AI5 + AJ5 + AK5</f>
        <v>31</v>
      </c>
      <c r="AM5" s="16" t="str">
        <f>IF(ISBLANK(L5), "", IF(L5 = "Open Bottom Structure", "Passable", IF(L5 = "Other", "Unknown", IF(AL5 &lt; 15, "Passable", IF(AND(AL5 &gt;= 15,AL5 &lt;= 19), "Potential", IF(AL5 &gt; 19, "Barrier", ""))))))</f>
        <v>Barrier</v>
      </c>
      <c r="AN5" s="125" t="s">
        <v>101</v>
      </c>
      <c r="AO5" s="125"/>
      <c r="AP5" s="103" t="s">
        <v>102</v>
      </c>
    </row>
    <row r="6" spans="1:42" s="13" customFormat="1" x14ac:dyDescent="0.25">
      <c r="A6" s="117">
        <v>44069</v>
      </c>
      <c r="B6" s="112"/>
      <c r="C6" s="116">
        <v>1805182</v>
      </c>
      <c r="D6" s="116" t="s">
        <v>103</v>
      </c>
      <c r="E6" s="77">
        <v>9</v>
      </c>
      <c r="F6" s="78">
        <v>675368.15995039698</v>
      </c>
      <c r="G6" s="79">
        <v>6004483.68258618</v>
      </c>
      <c r="H6" s="116" t="s">
        <v>93</v>
      </c>
      <c r="I6" s="77" t="s">
        <v>104</v>
      </c>
      <c r="J6" s="104">
        <v>43.9</v>
      </c>
      <c r="K6" s="116" t="s">
        <v>172</v>
      </c>
      <c r="L6" s="116" t="s">
        <v>105</v>
      </c>
      <c r="M6" s="116" t="s">
        <v>106</v>
      </c>
      <c r="N6" s="109">
        <v>4.5</v>
      </c>
      <c r="O6" s="109">
        <v>18</v>
      </c>
      <c r="P6" s="121"/>
      <c r="Q6" s="121"/>
      <c r="R6" s="121"/>
      <c r="S6" s="121"/>
      <c r="T6" s="121"/>
      <c r="U6" s="121"/>
      <c r="V6" s="121"/>
      <c r="W6" s="121"/>
      <c r="X6" s="121"/>
      <c r="Y6" s="121"/>
      <c r="Z6" s="121"/>
      <c r="AA6" s="121"/>
      <c r="AB6" s="115" t="s">
        <v>97</v>
      </c>
      <c r="AC6" s="115" t="s">
        <v>97</v>
      </c>
      <c r="AD6" s="121"/>
      <c r="AE6" s="121"/>
      <c r="AF6" s="22">
        <f t="shared" ref="AF6:AF11" si="0">IF(ISBLANK(Z6), 0, IF(ISBLANK(N6) &lt; 0, 0,Z6 / N6))</f>
        <v>0</v>
      </c>
      <c r="AG6" s="15">
        <f t="shared" ref="AG6:AG67" si="1">IF(O6&lt;15,0,IF(AND(O6&gt;=15,O6&lt;30),3,IF(O6&gt;=30,6,0)))</f>
        <v>3</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3</v>
      </c>
      <c r="AM6" s="16" t="str">
        <f t="shared" ref="AM6:AM67" si="7">IF(ISBLANK(L6), "", IF(L6 = "Open Bottom Structure", "Passable", IF(L6 = "Other", "Unknown", IF(AL6 &lt; 15, "Passable", IF(AND(AL6 &gt;= 15,AL6 &lt;= 19), "Potential", IF(AL6 &gt; 19, "Barrier", ""))))))</f>
        <v>Passable</v>
      </c>
      <c r="AN6" s="121"/>
      <c r="AO6" s="121"/>
      <c r="AP6" s="103" t="s">
        <v>115</v>
      </c>
    </row>
    <row r="7" spans="1:42" s="13" customFormat="1" x14ac:dyDescent="0.25">
      <c r="A7" s="117">
        <v>44069</v>
      </c>
      <c r="B7" s="112"/>
      <c r="C7" s="116">
        <v>1805455</v>
      </c>
      <c r="D7" s="116" t="s">
        <v>92</v>
      </c>
      <c r="E7" s="77">
        <v>9</v>
      </c>
      <c r="F7" s="78">
        <v>675328.79793525103</v>
      </c>
      <c r="G7" s="79">
        <v>6004247.3583311299</v>
      </c>
      <c r="H7" s="116" t="s">
        <v>93</v>
      </c>
      <c r="I7" s="77" t="s">
        <v>107</v>
      </c>
      <c r="J7" s="104">
        <v>0.2</v>
      </c>
      <c r="K7" s="116" t="s">
        <v>173</v>
      </c>
      <c r="L7" s="116" t="s">
        <v>108</v>
      </c>
      <c r="M7" s="116" t="s">
        <v>109</v>
      </c>
      <c r="N7" s="122"/>
      <c r="O7" s="122"/>
      <c r="P7" s="121"/>
      <c r="Q7" s="121"/>
      <c r="R7" s="121"/>
      <c r="S7" s="121"/>
      <c r="T7" s="121"/>
      <c r="U7" s="121"/>
      <c r="V7" s="121"/>
      <c r="W7" s="121"/>
      <c r="X7" s="121"/>
      <c r="Y7" s="121"/>
      <c r="Z7" s="121"/>
      <c r="AA7" s="121"/>
      <c r="AB7" s="115" t="s">
        <v>97</v>
      </c>
      <c r="AC7" s="115" t="s">
        <v>97</v>
      </c>
      <c r="AD7" s="121"/>
      <c r="AE7" s="121"/>
      <c r="AF7" s="22">
        <f t="shared" si="0"/>
        <v>0</v>
      </c>
      <c r="AG7" s="15">
        <f t="shared" si="1"/>
        <v>0</v>
      </c>
      <c r="AH7" s="7">
        <f t="shared" si="2"/>
        <v>0</v>
      </c>
      <c r="AI7" s="7">
        <f t="shared" si="3"/>
        <v>0</v>
      </c>
      <c r="AJ7" s="7">
        <f t="shared" si="4"/>
        <v>0</v>
      </c>
      <c r="AK7" s="12">
        <f t="shared" si="5"/>
        <v>0</v>
      </c>
      <c r="AL7" s="14">
        <f t="shared" si="6"/>
        <v>0</v>
      </c>
      <c r="AM7" s="16" t="str">
        <f t="shared" si="7"/>
        <v>Unknown</v>
      </c>
      <c r="AN7" s="116"/>
      <c r="AO7" s="116"/>
      <c r="AP7" s="116" t="s">
        <v>110</v>
      </c>
    </row>
    <row r="8" spans="1:42" s="13" customFormat="1" x14ac:dyDescent="0.25">
      <c r="A8" s="117">
        <v>44069</v>
      </c>
      <c r="B8" s="110"/>
      <c r="C8" s="116">
        <v>1805183</v>
      </c>
      <c r="D8" s="116" t="s">
        <v>103</v>
      </c>
      <c r="E8" s="77">
        <v>9</v>
      </c>
      <c r="F8" s="78">
        <v>677098.70970929996</v>
      </c>
      <c r="G8" s="79">
        <v>6003221.4383239998</v>
      </c>
      <c r="H8" s="116" t="s">
        <v>111</v>
      </c>
      <c r="I8" s="77" t="s">
        <v>112</v>
      </c>
      <c r="J8" s="105">
        <v>0.1</v>
      </c>
      <c r="K8" s="108" t="s">
        <v>172</v>
      </c>
      <c r="L8" s="116" t="s">
        <v>105</v>
      </c>
      <c r="M8" s="116" t="s">
        <v>113</v>
      </c>
      <c r="N8" s="114">
        <v>4.7</v>
      </c>
      <c r="O8" s="114">
        <v>16</v>
      </c>
      <c r="P8" s="121"/>
      <c r="Q8" s="121"/>
      <c r="R8" s="121"/>
      <c r="S8" s="121"/>
      <c r="T8" s="121"/>
      <c r="U8" s="121"/>
      <c r="V8" s="121"/>
      <c r="W8" s="121"/>
      <c r="X8" s="121"/>
      <c r="Y8" s="121"/>
      <c r="Z8" s="121"/>
      <c r="AA8" s="121"/>
      <c r="AB8" s="115" t="s">
        <v>97</v>
      </c>
      <c r="AC8" s="115" t="s">
        <v>97</v>
      </c>
      <c r="AD8" s="121"/>
      <c r="AE8" s="121"/>
      <c r="AF8" s="22">
        <f t="shared" si="0"/>
        <v>0</v>
      </c>
      <c r="AG8" s="15">
        <f t="shared" si="1"/>
        <v>3</v>
      </c>
      <c r="AH8" s="7">
        <f t="shared" si="2"/>
        <v>0</v>
      </c>
      <c r="AI8" s="7">
        <f t="shared" si="3"/>
        <v>0</v>
      </c>
      <c r="AJ8" s="7">
        <f t="shared" si="4"/>
        <v>0</v>
      </c>
      <c r="AK8" s="12">
        <f t="shared" si="5"/>
        <v>0</v>
      </c>
      <c r="AL8" s="14">
        <f t="shared" si="6"/>
        <v>3</v>
      </c>
      <c r="AM8" s="16" t="str">
        <f t="shared" si="7"/>
        <v>Passable</v>
      </c>
      <c r="AN8" s="121"/>
      <c r="AO8" s="121"/>
      <c r="AP8" s="116" t="s">
        <v>114</v>
      </c>
    </row>
    <row r="9" spans="1:42" x14ac:dyDescent="0.25">
      <c r="A9" s="117">
        <v>44069</v>
      </c>
      <c r="B9" s="111"/>
      <c r="C9" s="116">
        <v>1803661</v>
      </c>
      <c r="D9" s="116" t="s">
        <v>92</v>
      </c>
      <c r="E9" s="77">
        <v>9</v>
      </c>
      <c r="F9" s="78">
        <v>677101.13973085606</v>
      </c>
      <c r="G9" s="79">
        <v>6003176.9424158596</v>
      </c>
      <c r="H9" s="103" t="s">
        <v>93</v>
      </c>
      <c r="I9" s="77" t="s">
        <v>107</v>
      </c>
      <c r="J9" s="104">
        <v>0.1</v>
      </c>
      <c r="K9" s="108" t="s">
        <v>174</v>
      </c>
      <c r="L9" s="116" t="s">
        <v>108</v>
      </c>
      <c r="M9" s="115" t="s">
        <v>109</v>
      </c>
      <c r="N9" s="123"/>
      <c r="O9" s="123"/>
      <c r="P9" s="121"/>
      <c r="Q9" s="121"/>
      <c r="R9" s="121"/>
      <c r="S9" s="121"/>
      <c r="T9" s="121"/>
      <c r="U9" s="121"/>
      <c r="V9" s="121"/>
      <c r="W9" s="121"/>
      <c r="X9" s="121"/>
      <c r="Y9" s="121"/>
      <c r="Z9" s="121"/>
      <c r="AA9" s="121"/>
      <c r="AB9" s="115" t="s">
        <v>97</v>
      </c>
      <c r="AC9" s="115" t="s">
        <v>97</v>
      </c>
      <c r="AD9" s="121"/>
      <c r="AE9" s="121"/>
      <c r="AF9" s="22">
        <f t="shared" si="0"/>
        <v>0</v>
      </c>
      <c r="AG9" s="15">
        <f t="shared" si="1"/>
        <v>0</v>
      </c>
      <c r="AH9" s="7">
        <f t="shared" si="2"/>
        <v>0</v>
      </c>
      <c r="AI9" s="7">
        <f t="shared" si="3"/>
        <v>0</v>
      </c>
      <c r="AJ9" s="7">
        <f t="shared" si="4"/>
        <v>0</v>
      </c>
      <c r="AK9" s="12">
        <f t="shared" si="5"/>
        <v>0</v>
      </c>
      <c r="AL9" s="14">
        <f t="shared" si="6"/>
        <v>0</v>
      </c>
      <c r="AM9" s="16" t="str">
        <f t="shared" si="7"/>
        <v>Unknown</v>
      </c>
      <c r="AN9" s="116"/>
      <c r="AO9" s="116"/>
      <c r="AP9" s="116" t="s">
        <v>110</v>
      </c>
    </row>
    <row r="10" spans="1:42" x14ac:dyDescent="0.25">
      <c r="A10" s="117">
        <v>44069</v>
      </c>
      <c r="B10" s="111"/>
      <c r="C10" s="116">
        <v>1800472</v>
      </c>
      <c r="D10" s="116" t="s">
        <v>103</v>
      </c>
      <c r="E10" s="77">
        <v>9</v>
      </c>
      <c r="F10" s="78">
        <v>678411.04708632198</v>
      </c>
      <c r="G10" s="79">
        <v>6002820.9565134896</v>
      </c>
      <c r="H10" s="103" t="s">
        <v>93</v>
      </c>
      <c r="I10" s="77" t="s">
        <v>104</v>
      </c>
      <c r="J10" s="104">
        <v>47.1</v>
      </c>
      <c r="K10" s="116" t="s">
        <v>175</v>
      </c>
      <c r="L10" s="116" t="s">
        <v>105</v>
      </c>
      <c r="M10" s="116" t="s">
        <v>106</v>
      </c>
      <c r="N10" s="114">
        <v>7</v>
      </c>
      <c r="O10" s="114">
        <v>21</v>
      </c>
      <c r="P10" s="121"/>
      <c r="Q10" s="122"/>
      <c r="R10" s="121"/>
      <c r="S10" s="121"/>
      <c r="T10" s="122"/>
      <c r="U10" s="122"/>
      <c r="V10" s="121"/>
      <c r="W10" s="122"/>
      <c r="X10" s="121"/>
      <c r="Y10" s="122"/>
      <c r="Z10" s="122"/>
      <c r="AA10" s="121"/>
      <c r="AB10" s="116" t="s">
        <v>97</v>
      </c>
      <c r="AC10" s="116" t="s">
        <v>97</v>
      </c>
      <c r="AD10" s="121"/>
      <c r="AE10" s="121"/>
      <c r="AF10" s="22">
        <f t="shared" si="0"/>
        <v>0</v>
      </c>
      <c r="AG10" s="15">
        <f t="shared" si="1"/>
        <v>3</v>
      </c>
      <c r="AH10" s="7">
        <f t="shared" si="2"/>
        <v>0</v>
      </c>
      <c r="AI10" s="7">
        <f t="shared" si="3"/>
        <v>0</v>
      </c>
      <c r="AJ10" s="7">
        <f t="shared" si="4"/>
        <v>0</v>
      </c>
      <c r="AK10" s="12">
        <f t="shared" si="5"/>
        <v>0</v>
      </c>
      <c r="AL10" s="14">
        <f t="shared" si="6"/>
        <v>3</v>
      </c>
      <c r="AM10" s="16" t="str">
        <f t="shared" si="7"/>
        <v>Passable</v>
      </c>
      <c r="AN10" s="124"/>
      <c r="AO10" s="122"/>
      <c r="AP10" s="116" t="s">
        <v>115</v>
      </c>
    </row>
    <row r="11" spans="1:42" x14ac:dyDescent="0.25">
      <c r="A11" s="117">
        <v>44069</v>
      </c>
      <c r="B11" s="111"/>
      <c r="C11" s="103">
        <v>1802520</v>
      </c>
      <c r="D11" s="115" t="s">
        <v>92</v>
      </c>
      <c r="E11" s="115">
        <v>9</v>
      </c>
      <c r="F11" s="107">
        <v>672022.98369762802</v>
      </c>
      <c r="G11" s="106">
        <v>6005199.61528154</v>
      </c>
      <c r="H11" s="103" t="s">
        <v>93</v>
      </c>
      <c r="I11" s="77" t="s">
        <v>107</v>
      </c>
      <c r="J11" s="104"/>
      <c r="K11" s="115" t="s">
        <v>116</v>
      </c>
      <c r="L11" s="116" t="s">
        <v>95</v>
      </c>
      <c r="M11" s="116" t="s">
        <v>96</v>
      </c>
      <c r="N11" s="113">
        <v>1</v>
      </c>
      <c r="O11" s="113">
        <v>10</v>
      </c>
      <c r="P11" s="115" t="s">
        <v>97</v>
      </c>
      <c r="Q11" s="123"/>
      <c r="R11" s="115" t="s">
        <v>97</v>
      </c>
      <c r="S11" s="115" t="s">
        <v>97</v>
      </c>
      <c r="T11" s="123"/>
      <c r="U11" s="113">
        <v>1.2</v>
      </c>
      <c r="V11" s="115">
        <v>0</v>
      </c>
      <c r="W11" s="113">
        <v>0.42</v>
      </c>
      <c r="X11" s="115" t="s">
        <v>97</v>
      </c>
      <c r="Y11" s="113">
        <v>1</v>
      </c>
      <c r="Z11" s="113">
        <v>1.4</v>
      </c>
      <c r="AA11" s="115">
        <v>5</v>
      </c>
      <c r="AB11" s="115" t="s">
        <v>98</v>
      </c>
      <c r="AC11" s="115" t="s">
        <v>97</v>
      </c>
      <c r="AD11" s="115" t="s">
        <v>99</v>
      </c>
      <c r="AE11" s="115" t="s">
        <v>117</v>
      </c>
      <c r="AF11" s="22">
        <f t="shared" si="0"/>
        <v>1.4</v>
      </c>
      <c r="AG11" s="15">
        <f t="shared" si="1"/>
        <v>0</v>
      </c>
      <c r="AH11" s="7">
        <f t="shared" si="2"/>
        <v>10</v>
      </c>
      <c r="AI11" s="7">
        <f t="shared" si="3"/>
        <v>0</v>
      </c>
      <c r="AJ11" s="7">
        <f>IF(Y11&lt;1,0,IF(AND(Y11&gt;=1,Y11&lt;3),5,IF(Y11&gt;=3,10,0)))</f>
        <v>5</v>
      </c>
      <c r="AK11" s="12">
        <f t="shared" si="5"/>
        <v>6</v>
      </c>
      <c r="AL11" s="14">
        <f t="shared" si="6"/>
        <v>21</v>
      </c>
      <c r="AM11" s="16" t="str">
        <f t="shared" si="7"/>
        <v>Barrier</v>
      </c>
      <c r="AN11" s="115" t="s">
        <v>118</v>
      </c>
      <c r="AO11" s="125">
        <v>3</v>
      </c>
      <c r="AP11" s="116" t="s">
        <v>119</v>
      </c>
    </row>
    <row r="12" spans="1:42" ht="30" x14ac:dyDescent="0.25">
      <c r="A12" s="82">
        <v>44069</v>
      </c>
      <c r="B12" s="73"/>
      <c r="C12" s="25">
        <v>1804986</v>
      </c>
      <c r="D12" s="25" t="s">
        <v>103</v>
      </c>
      <c r="E12" s="77">
        <v>9</v>
      </c>
      <c r="F12" s="78">
        <v>651263.50153251202</v>
      </c>
      <c r="G12" s="79">
        <v>6012508.4558107099</v>
      </c>
      <c r="H12" s="77" t="s">
        <v>93</v>
      </c>
      <c r="I12" s="77" t="s">
        <v>120</v>
      </c>
      <c r="J12" s="42">
        <v>15.5</v>
      </c>
      <c r="K12" s="77" t="s">
        <v>172</v>
      </c>
      <c r="L12" s="25" t="s">
        <v>95</v>
      </c>
      <c r="M12" s="25" t="s">
        <v>96</v>
      </c>
      <c r="N12" s="114">
        <v>1</v>
      </c>
      <c r="O12" s="114">
        <v>15.5</v>
      </c>
      <c r="P12" s="116" t="s">
        <v>97</v>
      </c>
      <c r="Q12" s="121"/>
      <c r="R12" s="116" t="s">
        <v>97</v>
      </c>
      <c r="S12" s="116" t="s">
        <v>97</v>
      </c>
      <c r="T12" s="122"/>
      <c r="U12" s="114">
        <v>1.8</v>
      </c>
      <c r="V12" s="116">
        <v>0.3</v>
      </c>
      <c r="W12" s="114">
        <v>0</v>
      </c>
      <c r="X12" s="116" t="s">
        <v>97</v>
      </c>
      <c r="Y12" s="114">
        <v>1.5</v>
      </c>
      <c r="Z12" s="114">
        <v>1.5</v>
      </c>
      <c r="AA12" s="116">
        <v>2</v>
      </c>
      <c r="AB12" s="25" t="s">
        <v>97</v>
      </c>
      <c r="AC12" s="25" t="s">
        <v>97</v>
      </c>
      <c r="AD12" s="116" t="s">
        <v>99</v>
      </c>
      <c r="AE12" s="116" t="s">
        <v>121</v>
      </c>
      <c r="AF12" s="22">
        <f t="shared" ref="AF12:AF72" si="8">IF(ISBLANK(Z12), 0, IF(ISBLANK(N12) &lt; 0, 0,Z12 / N12))</f>
        <v>1.5</v>
      </c>
      <c r="AG12" s="15">
        <f t="shared" si="1"/>
        <v>3</v>
      </c>
      <c r="AH12" s="7">
        <f t="shared" si="2"/>
        <v>10</v>
      </c>
      <c r="AI12" s="7">
        <f t="shared" si="3"/>
        <v>10</v>
      </c>
      <c r="AJ12" s="7">
        <f t="shared" si="4"/>
        <v>5</v>
      </c>
      <c r="AK12" s="12">
        <f t="shared" si="5"/>
        <v>6</v>
      </c>
      <c r="AL12" s="14">
        <f t="shared" ref="AL12:AL70" si="9">AG12 + AH12 + AI12 + AJ12 + AK12</f>
        <v>34</v>
      </c>
      <c r="AM12" s="16" t="str">
        <f t="shared" si="7"/>
        <v>Barrier</v>
      </c>
      <c r="AN12" s="125" t="s">
        <v>118</v>
      </c>
      <c r="AO12" s="126">
        <v>3</v>
      </c>
      <c r="AP12" s="25" t="s">
        <v>122</v>
      </c>
    </row>
    <row r="13" spans="1:42" ht="30" x14ac:dyDescent="0.25">
      <c r="A13" s="82">
        <v>44069</v>
      </c>
      <c r="B13" s="76"/>
      <c r="C13" s="25">
        <v>1804153</v>
      </c>
      <c r="D13" s="25" t="s">
        <v>103</v>
      </c>
      <c r="E13" s="77">
        <v>9</v>
      </c>
      <c r="F13" s="78">
        <v>653554</v>
      </c>
      <c r="G13" s="79">
        <v>6015856</v>
      </c>
      <c r="H13" s="77" t="s">
        <v>93</v>
      </c>
      <c r="I13" s="77" t="s">
        <v>123</v>
      </c>
      <c r="J13" s="80"/>
      <c r="K13" s="77" t="s">
        <v>176</v>
      </c>
      <c r="L13" s="25" t="s">
        <v>105</v>
      </c>
      <c r="M13" s="25" t="s">
        <v>113</v>
      </c>
      <c r="N13" s="114">
        <v>5</v>
      </c>
      <c r="O13" s="114">
        <v>9</v>
      </c>
      <c r="P13" s="121"/>
      <c r="Q13" s="121"/>
      <c r="R13" s="121"/>
      <c r="S13" s="121"/>
      <c r="T13" s="121"/>
      <c r="U13" s="122"/>
      <c r="V13" s="121"/>
      <c r="W13" s="122"/>
      <c r="X13" s="121"/>
      <c r="Y13" s="122"/>
      <c r="Z13" s="122"/>
      <c r="AA13" s="121"/>
      <c r="AB13" s="25" t="s">
        <v>97</v>
      </c>
      <c r="AC13" s="25" t="s">
        <v>97</v>
      </c>
      <c r="AD13" s="121"/>
      <c r="AE13" s="121"/>
      <c r="AF13" s="22">
        <f t="shared" si="8"/>
        <v>0</v>
      </c>
      <c r="AG13" s="15">
        <f t="shared" si="1"/>
        <v>0</v>
      </c>
      <c r="AH13" s="7">
        <f t="shared" si="2"/>
        <v>0</v>
      </c>
      <c r="AI13" s="7">
        <f t="shared" si="3"/>
        <v>0</v>
      </c>
      <c r="AJ13" s="7">
        <f t="shared" si="4"/>
        <v>0</v>
      </c>
      <c r="AK13" s="12">
        <f t="shared" si="5"/>
        <v>0</v>
      </c>
      <c r="AL13" s="14">
        <f t="shared" si="9"/>
        <v>0</v>
      </c>
      <c r="AM13" s="16" t="str">
        <f t="shared" si="7"/>
        <v>Passable</v>
      </c>
      <c r="AN13" s="121"/>
      <c r="AO13" s="122"/>
      <c r="AP13" s="25" t="s">
        <v>124</v>
      </c>
    </row>
    <row r="14" spans="1:42" ht="30" x14ac:dyDescent="0.25">
      <c r="A14" s="82">
        <v>44069</v>
      </c>
      <c r="B14" s="76"/>
      <c r="C14" s="25">
        <v>1804151</v>
      </c>
      <c r="D14" s="25" t="s">
        <v>103</v>
      </c>
      <c r="E14" s="77">
        <v>9</v>
      </c>
      <c r="F14" s="78">
        <v>652876.146480266</v>
      </c>
      <c r="G14" s="79">
        <v>6017366.7883872604</v>
      </c>
      <c r="H14" s="77" t="s">
        <v>93</v>
      </c>
      <c r="I14" s="77" t="s">
        <v>123</v>
      </c>
      <c r="J14" s="80"/>
      <c r="K14" s="77" t="s">
        <v>176</v>
      </c>
      <c r="L14" s="25" t="s">
        <v>105</v>
      </c>
      <c r="M14" s="25" t="s">
        <v>113</v>
      </c>
      <c r="N14" s="114">
        <v>5.5</v>
      </c>
      <c r="O14" s="114">
        <v>12</v>
      </c>
      <c r="P14" s="121"/>
      <c r="Q14" s="121"/>
      <c r="R14" s="121"/>
      <c r="S14" s="121"/>
      <c r="T14" s="121"/>
      <c r="U14" s="122"/>
      <c r="V14" s="121"/>
      <c r="W14" s="122"/>
      <c r="X14" s="121"/>
      <c r="Y14" s="122"/>
      <c r="Z14" s="122"/>
      <c r="AA14" s="121"/>
      <c r="AB14" s="25" t="s">
        <v>97</v>
      </c>
      <c r="AC14" s="25" t="s">
        <v>97</v>
      </c>
      <c r="AD14" s="121"/>
      <c r="AE14" s="121"/>
      <c r="AF14" s="22">
        <f t="shared" si="8"/>
        <v>0</v>
      </c>
      <c r="AG14" s="15">
        <f t="shared" si="1"/>
        <v>0</v>
      </c>
      <c r="AH14" s="7">
        <f t="shared" si="2"/>
        <v>0</v>
      </c>
      <c r="AI14" s="7">
        <f t="shared" si="3"/>
        <v>0</v>
      </c>
      <c r="AJ14" s="7">
        <f t="shared" si="4"/>
        <v>0</v>
      </c>
      <c r="AK14" s="12">
        <f t="shared" si="5"/>
        <v>0</v>
      </c>
      <c r="AL14" s="14">
        <f t="shared" si="9"/>
        <v>0</v>
      </c>
      <c r="AM14" s="16" t="str">
        <f t="shared" si="7"/>
        <v>Passable</v>
      </c>
      <c r="AN14" s="121"/>
      <c r="AO14" s="122"/>
      <c r="AP14" s="25" t="s">
        <v>124</v>
      </c>
    </row>
    <row r="15" spans="1:42" ht="45" x14ac:dyDescent="0.25">
      <c r="A15" s="82">
        <v>44069</v>
      </c>
      <c r="B15" s="76"/>
      <c r="C15" s="25">
        <v>1804851</v>
      </c>
      <c r="D15" s="25" t="s">
        <v>103</v>
      </c>
      <c r="E15" s="77">
        <v>9</v>
      </c>
      <c r="F15" s="78">
        <v>654032.39180147403</v>
      </c>
      <c r="G15" s="79">
        <v>6020242.25224928</v>
      </c>
      <c r="H15" s="77" t="s">
        <v>125</v>
      </c>
      <c r="I15" s="77" t="s">
        <v>126</v>
      </c>
      <c r="J15" s="80"/>
      <c r="K15" s="77" t="s">
        <v>177</v>
      </c>
      <c r="L15" s="25" t="s">
        <v>105</v>
      </c>
      <c r="M15" s="25" t="s">
        <v>113</v>
      </c>
      <c r="N15" s="114">
        <v>4.8</v>
      </c>
      <c r="O15" s="114">
        <v>13</v>
      </c>
      <c r="P15" s="121"/>
      <c r="Q15" s="121"/>
      <c r="R15" s="121"/>
      <c r="S15" s="121"/>
      <c r="T15" s="122"/>
      <c r="U15" s="122"/>
      <c r="V15" s="121"/>
      <c r="W15" s="122"/>
      <c r="X15" s="121"/>
      <c r="Y15" s="122"/>
      <c r="Z15" s="122"/>
      <c r="AA15" s="121"/>
      <c r="AB15" s="25" t="s">
        <v>97</v>
      </c>
      <c r="AC15" s="25" t="s">
        <v>97</v>
      </c>
      <c r="AD15" s="121"/>
      <c r="AE15" s="121"/>
      <c r="AF15" s="22">
        <f t="shared" si="8"/>
        <v>0</v>
      </c>
      <c r="AG15" s="15">
        <f t="shared" si="1"/>
        <v>0</v>
      </c>
      <c r="AH15" s="7">
        <f t="shared" si="2"/>
        <v>0</v>
      </c>
      <c r="AI15" s="7">
        <f t="shared" si="3"/>
        <v>0</v>
      </c>
      <c r="AJ15" s="7">
        <f t="shared" si="4"/>
        <v>0</v>
      </c>
      <c r="AK15" s="12">
        <f t="shared" si="5"/>
        <v>0</v>
      </c>
      <c r="AL15" s="14">
        <f t="shared" si="9"/>
        <v>0</v>
      </c>
      <c r="AM15" s="16" t="str">
        <f t="shared" si="7"/>
        <v>Passable</v>
      </c>
      <c r="AN15" s="121"/>
      <c r="AO15" s="122"/>
      <c r="AP15" s="116" t="s">
        <v>124</v>
      </c>
    </row>
    <row r="16" spans="1:42" ht="30" x14ac:dyDescent="0.25">
      <c r="A16" s="82">
        <v>44069</v>
      </c>
      <c r="B16" s="76"/>
      <c r="C16" s="25">
        <v>1800868</v>
      </c>
      <c r="D16" s="25" t="s">
        <v>92</v>
      </c>
      <c r="E16" s="77">
        <v>9</v>
      </c>
      <c r="F16" s="78">
        <v>672888.02261101303</v>
      </c>
      <c r="G16" s="79">
        <v>6005374.9701406099</v>
      </c>
      <c r="H16" s="77" t="s">
        <v>127</v>
      </c>
      <c r="I16" s="77" t="s">
        <v>107</v>
      </c>
      <c r="J16" s="80">
        <v>0.1</v>
      </c>
      <c r="K16" s="77" t="s">
        <v>175</v>
      </c>
      <c r="L16" s="25" t="s">
        <v>108</v>
      </c>
      <c r="M16" s="25" t="s">
        <v>109</v>
      </c>
      <c r="N16" s="122"/>
      <c r="O16" s="122"/>
      <c r="P16" s="121"/>
      <c r="Q16" s="121"/>
      <c r="R16" s="121"/>
      <c r="S16" s="121"/>
      <c r="T16" s="122"/>
      <c r="U16" s="122"/>
      <c r="V16" s="121"/>
      <c r="W16" s="122"/>
      <c r="X16" s="121"/>
      <c r="Y16" s="122"/>
      <c r="Z16" s="122"/>
      <c r="AA16" s="121"/>
      <c r="AB16" s="25" t="s">
        <v>97</v>
      </c>
      <c r="AC16" s="25" t="s">
        <v>97</v>
      </c>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Unknown</v>
      </c>
      <c r="AN16" s="116"/>
      <c r="AO16" s="114"/>
      <c r="AP16" s="25" t="s">
        <v>110</v>
      </c>
    </row>
    <row r="17" spans="1:42" ht="30" x14ac:dyDescent="0.25">
      <c r="A17" s="82">
        <v>44070</v>
      </c>
      <c r="B17" s="76"/>
      <c r="C17" s="25">
        <v>1800077</v>
      </c>
      <c r="D17" s="25" t="s">
        <v>103</v>
      </c>
      <c r="E17" s="77">
        <v>9</v>
      </c>
      <c r="F17" s="78">
        <v>661696.00822342397</v>
      </c>
      <c r="G17" s="79">
        <v>6039603.0454586204</v>
      </c>
      <c r="H17" s="77" t="s">
        <v>128</v>
      </c>
      <c r="I17" s="77" t="s">
        <v>129</v>
      </c>
      <c r="J17" s="80"/>
      <c r="K17" s="77" t="s">
        <v>175</v>
      </c>
      <c r="L17" s="25" t="s">
        <v>108</v>
      </c>
      <c r="M17" s="25" t="s">
        <v>109</v>
      </c>
      <c r="N17" s="122"/>
      <c r="O17" s="122"/>
      <c r="P17" s="121"/>
      <c r="Q17" s="122"/>
      <c r="R17" s="121"/>
      <c r="S17" s="121"/>
      <c r="T17" s="121"/>
      <c r="U17" s="122"/>
      <c r="V17" s="121"/>
      <c r="W17" s="122"/>
      <c r="X17" s="121"/>
      <c r="Y17" s="122"/>
      <c r="Z17" s="122"/>
      <c r="AA17" s="121"/>
      <c r="AB17" s="25" t="s">
        <v>97</v>
      </c>
      <c r="AC17" s="25" t="s">
        <v>97</v>
      </c>
      <c r="AD17" s="121"/>
      <c r="AE17" s="121"/>
      <c r="AF17" s="22">
        <f t="shared" si="8"/>
        <v>0</v>
      </c>
      <c r="AG17" s="15">
        <f t="shared" si="1"/>
        <v>0</v>
      </c>
      <c r="AH17" s="7">
        <f t="shared" si="2"/>
        <v>0</v>
      </c>
      <c r="AI17" s="7">
        <f t="shared" si="3"/>
        <v>0</v>
      </c>
      <c r="AJ17" s="7">
        <f t="shared" si="4"/>
        <v>0</v>
      </c>
      <c r="AK17" s="12">
        <f t="shared" si="5"/>
        <v>0</v>
      </c>
      <c r="AL17" s="14">
        <f t="shared" si="9"/>
        <v>0</v>
      </c>
      <c r="AM17" s="16" t="str">
        <f t="shared" si="7"/>
        <v>Unknown</v>
      </c>
      <c r="AN17" s="116"/>
      <c r="AO17" s="114"/>
      <c r="AP17" s="25" t="s">
        <v>110</v>
      </c>
    </row>
    <row r="18" spans="1:42" x14ac:dyDescent="0.25">
      <c r="A18" s="82">
        <v>44070</v>
      </c>
      <c r="B18" s="76"/>
      <c r="C18" s="25">
        <v>1800068</v>
      </c>
      <c r="D18" s="25" t="s">
        <v>103</v>
      </c>
      <c r="E18" s="77">
        <v>9</v>
      </c>
      <c r="F18" s="78">
        <v>665518.060374683</v>
      </c>
      <c r="G18" s="79">
        <v>6044192.1242849901</v>
      </c>
      <c r="H18" s="77" t="s">
        <v>130</v>
      </c>
      <c r="I18" s="77" t="s">
        <v>131</v>
      </c>
      <c r="J18" s="80">
        <v>0.1</v>
      </c>
      <c r="K18" s="77" t="s">
        <v>171</v>
      </c>
      <c r="L18" s="25" t="s">
        <v>95</v>
      </c>
      <c r="M18" s="25" t="s">
        <v>96</v>
      </c>
      <c r="N18" s="114">
        <v>2</v>
      </c>
      <c r="O18" s="114">
        <v>32</v>
      </c>
      <c r="P18" s="116" t="s">
        <v>97</v>
      </c>
      <c r="Q18" s="121"/>
      <c r="R18" s="116" t="s">
        <v>97</v>
      </c>
      <c r="S18" s="116" t="s">
        <v>97</v>
      </c>
      <c r="T18" s="122"/>
      <c r="U18" s="114">
        <v>1</v>
      </c>
      <c r="V18" s="116">
        <v>0.33</v>
      </c>
      <c r="W18" s="114">
        <v>0.26</v>
      </c>
      <c r="X18" s="116" t="s">
        <v>97</v>
      </c>
      <c r="Y18" s="114">
        <v>2.5</v>
      </c>
      <c r="Z18" s="114">
        <v>2.5</v>
      </c>
      <c r="AA18" s="116">
        <v>3</v>
      </c>
      <c r="AB18" s="25" t="s">
        <v>98</v>
      </c>
      <c r="AC18" s="25" t="s">
        <v>97</v>
      </c>
      <c r="AD18" s="116" t="s">
        <v>99</v>
      </c>
      <c r="AE18" s="116" t="s">
        <v>117</v>
      </c>
      <c r="AF18" s="22">
        <f t="shared" si="8"/>
        <v>1.25</v>
      </c>
      <c r="AG18" s="15">
        <f t="shared" si="1"/>
        <v>6</v>
      </c>
      <c r="AH18" s="7">
        <f t="shared" si="2"/>
        <v>10</v>
      </c>
      <c r="AI18" s="7">
        <f t="shared" si="3"/>
        <v>10</v>
      </c>
      <c r="AJ18" s="7">
        <f t="shared" si="4"/>
        <v>5</v>
      </c>
      <c r="AK18" s="12">
        <f t="shared" si="5"/>
        <v>3</v>
      </c>
      <c r="AL18" s="14">
        <f t="shared" si="9"/>
        <v>34</v>
      </c>
      <c r="AM18" s="16" t="str">
        <f t="shared" si="7"/>
        <v>Barrier</v>
      </c>
      <c r="AN18" s="125" t="s">
        <v>101</v>
      </c>
      <c r="AO18" s="126">
        <v>10</v>
      </c>
      <c r="AP18" s="25" t="s">
        <v>132</v>
      </c>
    </row>
    <row r="19" spans="1:42" ht="30" x14ac:dyDescent="0.25">
      <c r="A19" s="82">
        <v>44069</v>
      </c>
      <c r="B19" s="76"/>
      <c r="C19" s="25">
        <v>1804152</v>
      </c>
      <c r="D19" s="25" t="s">
        <v>92</v>
      </c>
      <c r="E19" s="77">
        <v>9</v>
      </c>
      <c r="F19" s="78">
        <v>652746.539209162</v>
      </c>
      <c r="G19" s="79">
        <v>6018036.2874595504</v>
      </c>
      <c r="H19" s="77" t="s">
        <v>93</v>
      </c>
      <c r="I19" s="77" t="s">
        <v>123</v>
      </c>
      <c r="J19" s="42"/>
      <c r="K19" s="77" t="s">
        <v>176</v>
      </c>
      <c r="L19" s="25" t="s">
        <v>95</v>
      </c>
      <c r="M19" s="25" t="s">
        <v>96</v>
      </c>
      <c r="N19" s="114">
        <v>1</v>
      </c>
      <c r="O19" s="114">
        <v>20</v>
      </c>
      <c r="P19" s="116" t="s">
        <v>97</v>
      </c>
      <c r="Q19" s="121"/>
      <c r="R19" s="116" t="s">
        <v>97</v>
      </c>
      <c r="S19" s="116" t="s">
        <v>97</v>
      </c>
      <c r="T19" s="122"/>
      <c r="U19" s="114">
        <v>2</v>
      </c>
      <c r="V19" s="116">
        <v>0.27</v>
      </c>
      <c r="W19" s="114">
        <v>0.12</v>
      </c>
      <c r="X19" s="116" t="s">
        <v>98</v>
      </c>
      <c r="Y19" s="114">
        <v>4</v>
      </c>
      <c r="Z19" s="114">
        <v>1.5</v>
      </c>
      <c r="AA19" s="116">
        <v>5</v>
      </c>
      <c r="AB19" s="25" t="s">
        <v>97</v>
      </c>
      <c r="AC19" s="25" t="s">
        <v>97</v>
      </c>
      <c r="AD19" s="116" t="s">
        <v>99</v>
      </c>
      <c r="AE19" s="116" t="s">
        <v>117</v>
      </c>
      <c r="AF19" s="22">
        <f t="shared" si="8"/>
        <v>1.5</v>
      </c>
      <c r="AG19" s="15">
        <f t="shared" si="1"/>
        <v>3</v>
      </c>
      <c r="AH19" s="7">
        <f t="shared" si="2"/>
        <v>10</v>
      </c>
      <c r="AI19" s="7">
        <f t="shared" si="3"/>
        <v>5</v>
      </c>
      <c r="AJ19" s="7">
        <f t="shared" si="4"/>
        <v>10</v>
      </c>
      <c r="AK19" s="12">
        <f t="shared" si="5"/>
        <v>6</v>
      </c>
      <c r="AL19" s="14">
        <f t="shared" si="9"/>
        <v>34</v>
      </c>
      <c r="AM19" s="16" t="str">
        <f t="shared" si="7"/>
        <v>Barrier</v>
      </c>
      <c r="AN19" s="116" t="s">
        <v>118</v>
      </c>
      <c r="AO19" s="114">
        <v>3</v>
      </c>
      <c r="AP19" s="25" t="s">
        <v>133</v>
      </c>
    </row>
    <row r="20" spans="1:42" ht="30" x14ac:dyDescent="0.25">
      <c r="A20" s="82">
        <v>44070</v>
      </c>
      <c r="B20" s="76"/>
      <c r="C20" s="25">
        <v>1800073</v>
      </c>
      <c r="D20" s="25" t="s">
        <v>92</v>
      </c>
      <c r="E20" s="77">
        <v>9</v>
      </c>
      <c r="F20" s="78">
        <v>661765.45069832797</v>
      </c>
      <c r="G20" s="79">
        <v>6039489.9599989103</v>
      </c>
      <c r="H20" s="25" t="s">
        <v>128</v>
      </c>
      <c r="I20" s="77" t="s">
        <v>134</v>
      </c>
      <c r="J20" s="42"/>
      <c r="K20" s="77" t="s">
        <v>178</v>
      </c>
      <c r="L20" s="25" t="s">
        <v>95</v>
      </c>
      <c r="M20" s="25" t="s">
        <v>96</v>
      </c>
      <c r="N20" s="114">
        <v>0.9</v>
      </c>
      <c r="O20" s="114">
        <v>25</v>
      </c>
      <c r="P20" s="116" t="s">
        <v>97</v>
      </c>
      <c r="Q20" s="121"/>
      <c r="R20" s="116" t="s">
        <v>97</v>
      </c>
      <c r="S20" s="116" t="s">
        <v>98</v>
      </c>
      <c r="T20" s="116">
        <v>100</v>
      </c>
      <c r="U20" s="116">
        <v>2</v>
      </c>
      <c r="V20" s="116">
        <v>0</v>
      </c>
      <c r="W20" s="116">
        <v>0.7</v>
      </c>
      <c r="X20" s="116" t="s">
        <v>97</v>
      </c>
      <c r="Y20" s="116">
        <v>0</v>
      </c>
      <c r="Z20" s="116">
        <v>1</v>
      </c>
      <c r="AA20" s="116">
        <v>0</v>
      </c>
      <c r="AB20" s="25" t="s">
        <v>97</v>
      </c>
      <c r="AC20" s="25" t="s">
        <v>97</v>
      </c>
      <c r="AD20" s="116" t="s">
        <v>99</v>
      </c>
      <c r="AE20" s="116" t="s">
        <v>121</v>
      </c>
      <c r="AF20" s="22">
        <f t="shared" si="8"/>
        <v>1.1111111111111112</v>
      </c>
      <c r="AG20" s="15">
        <f t="shared" si="1"/>
        <v>3</v>
      </c>
      <c r="AH20" s="7">
        <f t="shared" si="2"/>
        <v>10</v>
      </c>
      <c r="AI20" s="7">
        <f t="shared" si="3"/>
        <v>0</v>
      </c>
      <c r="AJ20" s="7">
        <f t="shared" si="4"/>
        <v>0</v>
      </c>
      <c r="AK20" s="12">
        <f t="shared" si="5"/>
        <v>3</v>
      </c>
      <c r="AL20" s="14">
        <f t="shared" si="9"/>
        <v>16</v>
      </c>
      <c r="AM20" s="16" t="str">
        <f t="shared" si="7"/>
        <v>Potential</v>
      </c>
      <c r="AN20" s="116" t="s">
        <v>118</v>
      </c>
      <c r="AO20" s="116">
        <v>3</v>
      </c>
      <c r="AP20" s="25" t="s">
        <v>135</v>
      </c>
    </row>
    <row r="21" spans="1:42" ht="30" x14ac:dyDescent="0.25">
      <c r="A21" s="82">
        <v>44070</v>
      </c>
      <c r="B21" s="76"/>
      <c r="C21" s="25">
        <v>1800071</v>
      </c>
      <c r="D21" s="25" t="s">
        <v>92</v>
      </c>
      <c r="E21" s="25">
        <v>9</v>
      </c>
      <c r="F21" s="75">
        <v>663216</v>
      </c>
      <c r="G21" s="81">
        <v>6042012</v>
      </c>
      <c r="H21" s="25" t="s">
        <v>136</v>
      </c>
      <c r="I21" s="25" t="s">
        <v>134</v>
      </c>
      <c r="J21" s="42"/>
      <c r="K21" s="77" t="s">
        <v>178</v>
      </c>
      <c r="L21" s="25" t="s">
        <v>95</v>
      </c>
      <c r="M21" s="25" t="s">
        <v>96</v>
      </c>
      <c r="N21" s="114">
        <v>0.8</v>
      </c>
      <c r="O21" s="114">
        <v>25</v>
      </c>
      <c r="P21" s="116" t="s">
        <v>97</v>
      </c>
      <c r="Q21" s="122"/>
      <c r="R21" s="116" t="s">
        <v>97</v>
      </c>
      <c r="S21" s="116" t="s">
        <v>98</v>
      </c>
      <c r="T21" s="114">
        <v>100</v>
      </c>
      <c r="U21" s="114">
        <v>1.8</v>
      </c>
      <c r="V21" s="116">
        <v>0</v>
      </c>
      <c r="W21" s="114">
        <v>0.5</v>
      </c>
      <c r="X21" s="116" t="s">
        <v>98</v>
      </c>
      <c r="Y21" s="114">
        <v>0</v>
      </c>
      <c r="Z21" s="114">
        <v>5</v>
      </c>
      <c r="AA21" s="116">
        <v>0</v>
      </c>
      <c r="AB21" s="25" t="s">
        <v>98</v>
      </c>
      <c r="AC21" s="25" t="s">
        <v>97</v>
      </c>
      <c r="AD21" s="116" t="s">
        <v>99</v>
      </c>
      <c r="AE21" s="116" t="s">
        <v>121</v>
      </c>
      <c r="AF21" s="22">
        <f t="shared" si="8"/>
        <v>6.25</v>
      </c>
      <c r="AG21" s="15">
        <f t="shared" si="1"/>
        <v>3</v>
      </c>
      <c r="AH21" s="7">
        <f t="shared" si="2"/>
        <v>10</v>
      </c>
      <c r="AI21" s="7">
        <f t="shared" si="3"/>
        <v>0</v>
      </c>
      <c r="AJ21" s="7">
        <f t="shared" si="4"/>
        <v>0</v>
      </c>
      <c r="AK21" s="12">
        <f t="shared" si="5"/>
        <v>6</v>
      </c>
      <c r="AL21" s="14">
        <f t="shared" si="9"/>
        <v>19</v>
      </c>
      <c r="AM21" s="16" t="str">
        <f t="shared" si="7"/>
        <v>Potential</v>
      </c>
      <c r="AN21" s="116" t="s">
        <v>101</v>
      </c>
      <c r="AO21" s="114">
        <v>10</v>
      </c>
      <c r="AP21" s="25" t="s">
        <v>137</v>
      </c>
    </row>
    <row r="22" spans="1:42" ht="30" x14ac:dyDescent="0.25">
      <c r="A22" s="82">
        <v>44070</v>
      </c>
      <c r="B22" s="76"/>
      <c r="C22" s="25">
        <v>1800064</v>
      </c>
      <c r="D22" s="25" t="s">
        <v>92</v>
      </c>
      <c r="E22" s="77">
        <v>9</v>
      </c>
      <c r="F22" s="78">
        <v>665609.02209430397</v>
      </c>
      <c r="G22" s="79">
        <v>6044134.8838069001</v>
      </c>
      <c r="H22" s="77" t="s">
        <v>130</v>
      </c>
      <c r="I22" s="77" t="s">
        <v>134</v>
      </c>
      <c r="J22" s="80"/>
      <c r="K22" s="77" t="s">
        <v>178</v>
      </c>
      <c r="L22" s="25" t="s">
        <v>95</v>
      </c>
      <c r="M22" s="25" t="s">
        <v>96</v>
      </c>
      <c r="N22" s="114">
        <v>2.5</v>
      </c>
      <c r="O22" s="114">
        <v>14</v>
      </c>
      <c r="P22" s="116" t="s">
        <v>97</v>
      </c>
      <c r="Q22" s="122"/>
      <c r="R22" s="116" t="s">
        <v>98</v>
      </c>
      <c r="S22" s="116" t="s">
        <v>97</v>
      </c>
      <c r="T22" s="122"/>
      <c r="U22" s="114">
        <v>1</v>
      </c>
      <c r="V22" s="116">
        <v>0</v>
      </c>
      <c r="W22" s="114">
        <v>0.2</v>
      </c>
      <c r="X22" s="116" t="s">
        <v>97</v>
      </c>
      <c r="Y22" s="114">
        <v>2.5</v>
      </c>
      <c r="Z22" s="114">
        <v>3.2</v>
      </c>
      <c r="AA22" s="116">
        <v>1.5</v>
      </c>
      <c r="AB22" s="25" t="s">
        <v>97</v>
      </c>
      <c r="AC22" s="25" t="s">
        <v>97</v>
      </c>
      <c r="AD22" s="116" t="s">
        <v>99</v>
      </c>
      <c r="AE22" s="116" t="s">
        <v>100</v>
      </c>
      <c r="AF22" s="22">
        <f t="shared" si="8"/>
        <v>1.28</v>
      </c>
      <c r="AG22" s="15">
        <f t="shared" si="1"/>
        <v>0</v>
      </c>
      <c r="AH22" s="7">
        <f t="shared" si="2"/>
        <v>10</v>
      </c>
      <c r="AI22" s="7">
        <f t="shared" si="3"/>
        <v>0</v>
      </c>
      <c r="AJ22" s="7">
        <f t="shared" si="4"/>
        <v>5</v>
      </c>
      <c r="AK22" s="12">
        <f t="shared" si="5"/>
        <v>3</v>
      </c>
      <c r="AL22" s="14">
        <f t="shared" si="9"/>
        <v>18</v>
      </c>
      <c r="AM22" s="16" t="str">
        <f t="shared" si="7"/>
        <v>Potential</v>
      </c>
      <c r="AN22" s="116" t="s">
        <v>101</v>
      </c>
      <c r="AO22" s="114">
        <v>10</v>
      </c>
      <c r="AP22" s="25" t="s">
        <v>138</v>
      </c>
    </row>
    <row r="23" spans="1:42" ht="30" x14ac:dyDescent="0.25">
      <c r="A23" s="82">
        <v>44070</v>
      </c>
      <c r="B23" s="76"/>
      <c r="C23" s="25">
        <v>1800062</v>
      </c>
      <c r="D23" s="25" t="s">
        <v>92</v>
      </c>
      <c r="E23" s="77">
        <v>9</v>
      </c>
      <c r="F23" s="78">
        <v>666847.20480056095</v>
      </c>
      <c r="G23" s="79">
        <v>6044305.1508315504</v>
      </c>
      <c r="H23" s="77" t="s">
        <v>139</v>
      </c>
      <c r="I23" s="77" t="s">
        <v>134</v>
      </c>
      <c r="J23" s="80"/>
      <c r="K23" s="77" t="s">
        <v>178</v>
      </c>
      <c r="L23" s="25" t="s">
        <v>95</v>
      </c>
      <c r="M23" s="25" t="s">
        <v>140</v>
      </c>
      <c r="N23" s="114">
        <v>4</v>
      </c>
      <c r="O23" s="114">
        <v>24</v>
      </c>
      <c r="P23" s="116" t="s">
        <v>97</v>
      </c>
      <c r="Q23" s="122"/>
      <c r="R23" s="116" t="s">
        <v>97</v>
      </c>
      <c r="S23" s="116" t="s">
        <v>97</v>
      </c>
      <c r="T23" s="122"/>
      <c r="U23" s="114">
        <v>1.6</v>
      </c>
      <c r="V23" s="116">
        <v>2</v>
      </c>
      <c r="W23" s="114">
        <v>3.8</v>
      </c>
      <c r="X23" s="116" t="s">
        <v>98</v>
      </c>
      <c r="Y23" s="114">
        <v>4</v>
      </c>
      <c r="Z23" s="114">
        <v>11.1</v>
      </c>
      <c r="AA23" s="116">
        <v>1.2</v>
      </c>
      <c r="AB23" s="25" t="s">
        <v>97</v>
      </c>
      <c r="AC23" s="25" t="s">
        <v>98</v>
      </c>
      <c r="AD23" s="116" t="s">
        <v>99</v>
      </c>
      <c r="AE23" s="116" t="s">
        <v>100</v>
      </c>
      <c r="AF23" s="22">
        <f t="shared" si="8"/>
        <v>2.7749999999999999</v>
      </c>
      <c r="AG23" s="15">
        <f t="shared" si="1"/>
        <v>3</v>
      </c>
      <c r="AH23" s="7">
        <f t="shared" si="2"/>
        <v>10</v>
      </c>
      <c r="AI23" s="7">
        <f t="shared" si="3"/>
        <v>10</v>
      </c>
      <c r="AJ23" s="7">
        <f t="shared" si="4"/>
        <v>10</v>
      </c>
      <c r="AK23" s="12">
        <f t="shared" si="5"/>
        <v>6</v>
      </c>
      <c r="AL23" s="14">
        <f t="shared" si="9"/>
        <v>39</v>
      </c>
      <c r="AM23" s="16" t="str">
        <f t="shared" si="7"/>
        <v>Barrier</v>
      </c>
      <c r="AN23" s="116" t="s">
        <v>101</v>
      </c>
      <c r="AO23" s="114">
        <v>15.1</v>
      </c>
      <c r="AP23" s="25" t="s">
        <v>141</v>
      </c>
    </row>
    <row r="24" spans="1:42" ht="30" x14ac:dyDescent="0.25">
      <c r="A24" s="82">
        <v>44070</v>
      </c>
      <c r="B24" s="76"/>
      <c r="C24" s="25">
        <v>1800066</v>
      </c>
      <c r="D24" s="25" t="s">
        <v>92</v>
      </c>
      <c r="E24" s="77">
        <v>9</v>
      </c>
      <c r="F24" s="78">
        <v>665586.39408702601</v>
      </c>
      <c r="G24" s="79">
        <v>6043992.7826889399</v>
      </c>
      <c r="H24" s="77" t="s">
        <v>130</v>
      </c>
      <c r="I24" s="77" t="s">
        <v>142</v>
      </c>
      <c r="J24" s="80"/>
      <c r="K24" s="127" t="s">
        <v>179</v>
      </c>
      <c r="L24" s="25" t="s">
        <v>95</v>
      </c>
      <c r="M24" s="25" t="s">
        <v>143</v>
      </c>
      <c r="N24" s="114">
        <v>3.2</v>
      </c>
      <c r="O24" s="114">
        <v>7.5</v>
      </c>
      <c r="P24" s="116" t="s">
        <v>98</v>
      </c>
      <c r="Q24" s="114">
        <v>1</v>
      </c>
      <c r="R24" s="116" t="s">
        <v>98</v>
      </c>
      <c r="S24" s="116" t="s">
        <v>97</v>
      </c>
      <c r="T24" s="122"/>
      <c r="U24" s="114">
        <v>0</v>
      </c>
      <c r="V24" s="116">
        <v>0</v>
      </c>
      <c r="W24" s="114">
        <v>0</v>
      </c>
      <c r="X24" s="116" t="s">
        <v>97</v>
      </c>
      <c r="Y24" s="114">
        <v>0</v>
      </c>
      <c r="Z24" s="114">
        <v>3.2</v>
      </c>
      <c r="AA24" s="116">
        <v>2</v>
      </c>
      <c r="AB24" s="25" t="s">
        <v>97</v>
      </c>
      <c r="AC24" s="25" t="s">
        <v>97</v>
      </c>
      <c r="AD24" s="116" t="s">
        <v>99</v>
      </c>
      <c r="AE24" s="116" t="s">
        <v>100</v>
      </c>
      <c r="AF24" s="22">
        <f t="shared" si="8"/>
        <v>1</v>
      </c>
      <c r="AG24" s="15">
        <f t="shared" si="1"/>
        <v>0</v>
      </c>
      <c r="AH24" s="7">
        <f t="shared" si="2"/>
        <v>0</v>
      </c>
      <c r="AI24" s="7">
        <f t="shared" si="3"/>
        <v>0</v>
      </c>
      <c r="AJ24" s="7">
        <f t="shared" si="4"/>
        <v>0</v>
      </c>
      <c r="AK24" s="12">
        <f t="shared" si="5"/>
        <v>3</v>
      </c>
      <c r="AL24" s="14">
        <f t="shared" si="9"/>
        <v>3</v>
      </c>
      <c r="AM24" s="16" t="str">
        <f t="shared" si="7"/>
        <v>Passable</v>
      </c>
      <c r="AN24" s="128"/>
      <c r="AO24" s="129"/>
      <c r="AP24" s="25" t="s">
        <v>144</v>
      </c>
    </row>
    <row r="25" spans="1:42" ht="30" x14ac:dyDescent="0.25">
      <c r="A25" s="82">
        <v>44070</v>
      </c>
      <c r="B25" s="76"/>
      <c r="C25" s="25">
        <v>1805595</v>
      </c>
      <c r="D25" s="25" t="s">
        <v>92</v>
      </c>
      <c r="E25" s="77">
        <v>9</v>
      </c>
      <c r="F25" s="78">
        <v>665623.56530409004</v>
      </c>
      <c r="G25" s="79">
        <v>6044045.2564013302</v>
      </c>
      <c r="H25" s="77" t="s">
        <v>139</v>
      </c>
      <c r="I25" s="77" t="s">
        <v>142</v>
      </c>
      <c r="J25" s="80"/>
      <c r="K25" s="77" t="s">
        <v>179</v>
      </c>
      <c r="L25" s="25" t="s">
        <v>105</v>
      </c>
      <c r="M25" s="25" t="s">
        <v>113</v>
      </c>
      <c r="N25" s="114">
        <v>5</v>
      </c>
      <c r="O25" s="114">
        <v>18</v>
      </c>
      <c r="P25" s="121"/>
      <c r="Q25" s="122"/>
      <c r="R25" s="121"/>
      <c r="S25" s="121"/>
      <c r="T25" s="122"/>
      <c r="U25" s="122"/>
      <c r="V25" s="121"/>
      <c r="W25" s="122"/>
      <c r="X25" s="121"/>
      <c r="Y25" s="122"/>
      <c r="Z25" s="122"/>
      <c r="AA25" s="121"/>
      <c r="AB25" s="25" t="s">
        <v>97</v>
      </c>
      <c r="AC25" s="25" t="s">
        <v>97</v>
      </c>
      <c r="AD25" s="121"/>
      <c r="AE25" s="121"/>
      <c r="AF25" s="22">
        <f t="shared" si="8"/>
        <v>0</v>
      </c>
      <c r="AG25" s="15">
        <f t="shared" si="1"/>
        <v>3</v>
      </c>
      <c r="AH25" s="7">
        <f t="shared" si="2"/>
        <v>0</v>
      </c>
      <c r="AI25" s="7">
        <f t="shared" si="3"/>
        <v>0</v>
      </c>
      <c r="AJ25" s="7">
        <f t="shared" si="4"/>
        <v>0</v>
      </c>
      <c r="AK25" s="12">
        <f t="shared" si="5"/>
        <v>0</v>
      </c>
      <c r="AL25" s="14">
        <f t="shared" si="9"/>
        <v>3</v>
      </c>
      <c r="AM25" s="16" t="str">
        <f t="shared" si="7"/>
        <v>Passable</v>
      </c>
      <c r="AN25" s="121"/>
      <c r="AO25" s="122"/>
      <c r="AP25" s="25" t="s">
        <v>144</v>
      </c>
    </row>
    <row r="26" spans="1:42" x14ac:dyDescent="0.25">
      <c r="A26" s="82">
        <v>44070</v>
      </c>
      <c r="B26" s="76"/>
      <c r="C26" s="25">
        <v>2020082701</v>
      </c>
      <c r="D26" s="25" t="s">
        <v>103</v>
      </c>
      <c r="E26" s="77">
        <v>9</v>
      </c>
      <c r="F26" s="78">
        <v>665574</v>
      </c>
      <c r="G26" s="79">
        <v>6043989</v>
      </c>
      <c r="H26" s="77" t="s">
        <v>130</v>
      </c>
      <c r="I26" s="77" t="s">
        <v>145</v>
      </c>
      <c r="J26" s="80"/>
      <c r="K26" s="77" t="s">
        <v>171</v>
      </c>
      <c r="L26" s="25" t="s">
        <v>105</v>
      </c>
      <c r="M26" s="25" t="s">
        <v>113</v>
      </c>
      <c r="N26" s="114">
        <v>4</v>
      </c>
      <c r="O26" s="114">
        <v>10</v>
      </c>
      <c r="P26" s="121"/>
      <c r="Q26" s="122"/>
      <c r="R26" s="121"/>
      <c r="S26" s="121"/>
      <c r="T26" s="122"/>
      <c r="U26" s="122"/>
      <c r="V26" s="121"/>
      <c r="W26" s="122"/>
      <c r="X26" s="121"/>
      <c r="Y26" s="122"/>
      <c r="Z26" s="122"/>
      <c r="AA26" s="121"/>
      <c r="AB26" s="25" t="s">
        <v>97</v>
      </c>
      <c r="AC26" s="25" t="s">
        <v>97</v>
      </c>
      <c r="AD26" s="121"/>
      <c r="AE26" s="121"/>
      <c r="AF26" s="22">
        <f t="shared" si="8"/>
        <v>0</v>
      </c>
      <c r="AG26" s="15">
        <f t="shared" si="1"/>
        <v>0</v>
      </c>
      <c r="AH26" s="7">
        <f t="shared" si="2"/>
        <v>0</v>
      </c>
      <c r="AI26" s="7">
        <f t="shared" si="3"/>
        <v>0</v>
      </c>
      <c r="AJ26" s="7">
        <f t="shared" si="4"/>
        <v>0</v>
      </c>
      <c r="AK26" s="12">
        <f t="shared" si="5"/>
        <v>0</v>
      </c>
      <c r="AL26" s="14">
        <f t="shared" si="9"/>
        <v>0</v>
      </c>
      <c r="AM26" s="16" t="str">
        <f t="shared" si="7"/>
        <v>Passable</v>
      </c>
      <c r="AN26" s="121"/>
      <c r="AO26" s="122"/>
      <c r="AP26" s="25" t="s">
        <v>146</v>
      </c>
    </row>
    <row r="27" spans="1:42" ht="30" x14ac:dyDescent="0.25">
      <c r="A27" s="82">
        <v>44071</v>
      </c>
      <c r="B27" s="76"/>
      <c r="C27" s="25">
        <v>1800060</v>
      </c>
      <c r="D27" s="25" t="s">
        <v>103</v>
      </c>
      <c r="E27" s="77">
        <v>9</v>
      </c>
      <c r="F27" s="78">
        <v>672404.70140713803</v>
      </c>
      <c r="G27" s="79">
        <v>6044146.31063178</v>
      </c>
      <c r="H27" s="77" t="s">
        <v>147</v>
      </c>
      <c r="I27" s="77" t="s">
        <v>134</v>
      </c>
      <c r="J27" s="80"/>
      <c r="K27" s="77" t="s">
        <v>178</v>
      </c>
      <c r="L27" s="25" t="s">
        <v>95</v>
      </c>
      <c r="M27" s="25" t="s">
        <v>96</v>
      </c>
      <c r="N27" s="114">
        <v>4.2</v>
      </c>
      <c r="O27" s="114">
        <v>24</v>
      </c>
      <c r="P27" s="116" t="s">
        <v>97</v>
      </c>
      <c r="Q27" s="122"/>
      <c r="R27" s="116" t="s">
        <v>97</v>
      </c>
      <c r="S27" s="116" t="s">
        <v>97</v>
      </c>
      <c r="T27" s="122"/>
      <c r="U27" s="114">
        <v>1</v>
      </c>
      <c r="V27" s="116">
        <v>0.2</v>
      </c>
      <c r="W27" s="114">
        <v>1</v>
      </c>
      <c r="X27" s="116" t="s">
        <v>97</v>
      </c>
      <c r="Y27" s="114">
        <v>2</v>
      </c>
      <c r="Z27" s="114">
        <v>12.5</v>
      </c>
      <c r="AA27" s="116">
        <v>1.5</v>
      </c>
      <c r="AB27" s="25" t="s">
        <v>97</v>
      </c>
      <c r="AC27" s="25" t="s">
        <v>98</v>
      </c>
      <c r="AD27" s="116" t="s">
        <v>99</v>
      </c>
      <c r="AE27" s="116" t="s">
        <v>100</v>
      </c>
      <c r="AF27" s="22">
        <f t="shared" si="8"/>
        <v>2.9761904761904763</v>
      </c>
      <c r="AG27" s="15">
        <f t="shared" si="1"/>
        <v>3</v>
      </c>
      <c r="AH27" s="7">
        <f t="shared" si="2"/>
        <v>10</v>
      </c>
      <c r="AI27" s="7">
        <f t="shared" si="3"/>
        <v>5</v>
      </c>
      <c r="AJ27" s="7">
        <f t="shared" si="4"/>
        <v>5</v>
      </c>
      <c r="AK27" s="12">
        <f t="shared" si="5"/>
        <v>6</v>
      </c>
      <c r="AL27" s="14">
        <f t="shared" si="9"/>
        <v>29</v>
      </c>
      <c r="AM27" s="16" t="str">
        <f t="shared" si="7"/>
        <v>Barrier</v>
      </c>
      <c r="AN27" s="125" t="s">
        <v>101</v>
      </c>
      <c r="AO27" s="126">
        <v>16.5</v>
      </c>
      <c r="AP27" s="25" t="s">
        <v>151</v>
      </c>
    </row>
    <row r="28" spans="1:42" ht="30" x14ac:dyDescent="0.25">
      <c r="A28" s="82">
        <v>44071</v>
      </c>
      <c r="B28" s="76"/>
      <c r="C28" s="25">
        <v>1800213</v>
      </c>
      <c r="D28" s="25" t="s">
        <v>103</v>
      </c>
      <c r="E28" s="77">
        <v>9</v>
      </c>
      <c r="F28" s="78">
        <v>670240.81780552701</v>
      </c>
      <c r="G28" s="79">
        <v>6044772.3294465402</v>
      </c>
      <c r="H28" s="77" t="s">
        <v>149</v>
      </c>
      <c r="I28" s="77" t="s">
        <v>134</v>
      </c>
      <c r="J28" s="80"/>
      <c r="K28" s="77" t="s">
        <v>178</v>
      </c>
      <c r="L28" s="25" t="s">
        <v>95</v>
      </c>
      <c r="M28" s="25" t="s">
        <v>96</v>
      </c>
      <c r="N28" s="114">
        <v>1.75</v>
      </c>
      <c r="O28" s="114">
        <v>25</v>
      </c>
      <c r="P28" s="116" t="s">
        <v>97</v>
      </c>
      <c r="Q28" s="122"/>
      <c r="R28" s="116" t="s">
        <v>97</v>
      </c>
      <c r="S28" s="116" t="s">
        <v>97</v>
      </c>
      <c r="T28" s="122"/>
      <c r="U28" s="114">
        <v>3</v>
      </c>
      <c r="V28" s="116">
        <v>0</v>
      </c>
      <c r="W28" s="114">
        <v>1.35</v>
      </c>
      <c r="X28" s="116" t="s">
        <v>98</v>
      </c>
      <c r="Y28" s="114">
        <v>2</v>
      </c>
      <c r="Z28" s="114">
        <v>6.3</v>
      </c>
      <c r="AA28" s="116">
        <v>5.5</v>
      </c>
      <c r="AB28" s="25" t="s">
        <v>97</v>
      </c>
      <c r="AC28" s="25" t="s">
        <v>98</v>
      </c>
      <c r="AD28" s="116" t="s">
        <v>99</v>
      </c>
      <c r="AE28" s="116" t="s">
        <v>100</v>
      </c>
      <c r="AF28" s="22">
        <f t="shared" si="8"/>
        <v>3.6</v>
      </c>
      <c r="AG28" s="15">
        <f t="shared" si="1"/>
        <v>3</v>
      </c>
      <c r="AH28" s="7">
        <f t="shared" si="2"/>
        <v>10</v>
      </c>
      <c r="AI28" s="7">
        <f t="shared" si="3"/>
        <v>0</v>
      </c>
      <c r="AJ28" s="7">
        <f t="shared" si="4"/>
        <v>5</v>
      </c>
      <c r="AK28" s="12">
        <f t="shared" si="5"/>
        <v>6</v>
      </c>
      <c r="AL28" s="14">
        <f t="shared" si="9"/>
        <v>24</v>
      </c>
      <c r="AM28" s="16" t="str">
        <f t="shared" si="7"/>
        <v>Barrier</v>
      </c>
      <c r="AN28" s="116" t="s">
        <v>101</v>
      </c>
      <c r="AO28" s="114">
        <v>10.3</v>
      </c>
      <c r="AP28" s="25" t="s">
        <v>150</v>
      </c>
    </row>
    <row r="29" spans="1:42" ht="30" x14ac:dyDescent="0.25">
      <c r="A29" s="82">
        <v>44071</v>
      </c>
      <c r="B29" s="76"/>
      <c r="C29" s="25">
        <v>1801069</v>
      </c>
      <c r="D29" s="25" t="s">
        <v>103</v>
      </c>
      <c r="E29" s="77">
        <v>9</v>
      </c>
      <c r="F29" s="78">
        <v>660454.32060591294</v>
      </c>
      <c r="G29" s="79">
        <v>6037919.0739658298</v>
      </c>
      <c r="H29" s="77" t="s">
        <v>152</v>
      </c>
      <c r="I29" s="77" t="s">
        <v>134</v>
      </c>
      <c r="J29" s="80"/>
      <c r="K29" s="77" t="s">
        <v>178</v>
      </c>
      <c r="L29" s="25" t="s">
        <v>95</v>
      </c>
      <c r="M29" s="25" t="s">
        <v>96</v>
      </c>
      <c r="N29" s="114">
        <v>2.5</v>
      </c>
      <c r="O29" s="114">
        <v>15</v>
      </c>
      <c r="P29" s="116" t="s">
        <v>98</v>
      </c>
      <c r="Q29" s="114">
        <v>1.9</v>
      </c>
      <c r="R29" s="116" t="s">
        <v>98</v>
      </c>
      <c r="S29" s="116" t="s">
        <v>97</v>
      </c>
      <c r="T29" s="122"/>
      <c r="U29" s="114">
        <v>1</v>
      </c>
      <c r="V29" s="116">
        <v>0</v>
      </c>
      <c r="W29" s="114">
        <v>0</v>
      </c>
      <c r="X29" s="116" t="s">
        <v>97</v>
      </c>
      <c r="Y29" s="114">
        <v>2</v>
      </c>
      <c r="Z29" s="114">
        <v>4.7</v>
      </c>
      <c r="AA29" s="116">
        <v>1.8</v>
      </c>
      <c r="AB29" s="25" t="s">
        <v>98</v>
      </c>
      <c r="AC29" s="25" t="s">
        <v>97</v>
      </c>
      <c r="AD29" s="116" t="s">
        <v>99</v>
      </c>
      <c r="AE29" s="116" t="s">
        <v>100</v>
      </c>
      <c r="AF29" s="22">
        <f t="shared" si="8"/>
        <v>1.8800000000000001</v>
      </c>
      <c r="AG29" s="15">
        <f t="shared" si="1"/>
        <v>3</v>
      </c>
      <c r="AH29" s="7">
        <f t="shared" si="2"/>
        <v>0</v>
      </c>
      <c r="AI29" s="7">
        <f t="shared" si="3"/>
        <v>0</v>
      </c>
      <c r="AJ29" s="7">
        <f t="shared" si="4"/>
        <v>5</v>
      </c>
      <c r="AK29" s="12">
        <f t="shared" si="5"/>
        <v>6</v>
      </c>
      <c r="AL29" s="14">
        <f t="shared" si="9"/>
        <v>14</v>
      </c>
      <c r="AM29" s="16" t="str">
        <f t="shared" si="7"/>
        <v>Passable</v>
      </c>
      <c r="AN29" s="121"/>
      <c r="AO29" s="122"/>
      <c r="AP29" s="25" t="s">
        <v>148</v>
      </c>
    </row>
    <row r="30" spans="1:42" ht="30" x14ac:dyDescent="0.25">
      <c r="A30" s="82">
        <v>44071</v>
      </c>
      <c r="B30" s="76"/>
      <c r="C30" s="25">
        <v>1800076</v>
      </c>
      <c r="D30" s="25" t="s">
        <v>92</v>
      </c>
      <c r="E30" s="77">
        <v>9</v>
      </c>
      <c r="F30" s="78">
        <v>660627</v>
      </c>
      <c r="G30" s="79">
        <v>6037843</v>
      </c>
      <c r="H30" s="77" t="s">
        <v>152</v>
      </c>
      <c r="I30" s="77" t="s">
        <v>142</v>
      </c>
      <c r="J30" s="80"/>
      <c r="K30" s="77" t="s">
        <v>179</v>
      </c>
      <c r="L30" s="25" t="s">
        <v>95</v>
      </c>
      <c r="M30" s="25" t="s">
        <v>96</v>
      </c>
      <c r="N30" s="114">
        <v>0.9</v>
      </c>
      <c r="O30" s="114">
        <v>25</v>
      </c>
      <c r="P30" s="116" t="s">
        <v>98</v>
      </c>
      <c r="Q30" s="114">
        <v>0.3</v>
      </c>
      <c r="R30" s="116" t="s">
        <v>98</v>
      </c>
      <c r="S30" s="116" t="s">
        <v>98</v>
      </c>
      <c r="T30" s="114">
        <v>10</v>
      </c>
      <c r="U30" s="114">
        <v>2</v>
      </c>
      <c r="V30" s="116">
        <v>0</v>
      </c>
      <c r="W30" s="114">
        <v>0.4</v>
      </c>
      <c r="X30" s="116" t="s">
        <v>97</v>
      </c>
      <c r="Y30" s="114">
        <v>1</v>
      </c>
      <c r="Z30" s="114">
        <v>3.5</v>
      </c>
      <c r="AA30" s="116">
        <v>3</v>
      </c>
      <c r="AB30" s="25" t="s">
        <v>97</v>
      </c>
      <c r="AC30" s="25" t="s">
        <v>97</v>
      </c>
      <c r="AD30" s="116" t="s">
        <v>99</v>
      </c>
      <c r="AE30" s="116" t="s">
        <v>100</v>
      </c>
      <c r="AF30" s="22">
        <f t="shared" si="8"/>
        <v>3.8888888888888888</v>
      </c>
      <c r="AG30" s="15">
        <f t="shared" si="1"/>
        <v>3</v>
      </c>
      <c r="AH30" s="7">
        <f t="shared" si="2"/>
        <v>0</v>
      </c>
      <c r="AI30" s="7">
        <f t="shared" si="3"/>
        <v>0</v>
      </c>
      <c r="AJ30" s="7">
        <f t="shared" si="4"/>
        <v>5</v>
      </c>
      <c r="AK30" s="12">
        <f t="shared" si="5"/>
        <v>6</v>
      </c>
      <c r="AL30" s="14">
        <f t="shared" si="9"/>
        <v>14</v>
      </c>
      <c r="AM30" s="16" t="str">
        <f t="shared" si="7"/>
        <v>Passable</v>
      </c>
      <c r="AN30" s="121"/>
      <c r="AO30" s="122"/>
      <c r="AP30" s="25" t="s">
        <v>153</v>
      </c>
    </row>
    <row r="31" spans="1:42" ht="30" x14ac:dyDescent="0.25">
      <c r="A31" s="82">
        <v>44072</v>
      </c>
      <c r="B31" s="76"/>
      <c r="C31" s="25">
        <v>2020083101</v>
      </c>
      <c r="D31" s="25" t="s">
        <v>92</v>
      </c>
      <c r="E31" s="77">
        <v>9</v>
      </c>
      <c r="F31" s="78">
        <v>628108</v>
      </c>
      <c r="G31" s="79">
        <v>6059632</v>
      </c>
      <c r="H31" s="77" t="s">
        <v>154</v>
      </c>
      <c r="I31" s="77" t="s">
        <v>142</v>
      </c>
      <c r="J31" s="80"/>
      <c r="K31" s="77" t="s">
        <v>179</v>
      </c>
      <c r="L31" s="25" t="s">
        <v>95</v>
      </c>
      <c r="M31" s="25" t="s">
        <v>96</v>
      </c>
      <c r="N31" s="114">
        <v>2</v>
      </c>
      <c r="O31" s="114">
        <v>22</v>
      </c>
      <c r="P31" s="116" t="s">
        <v>98</v>
      </c>
      <c r="Q31" s="114">
        <v>0.15</v>
      </c>
      <c r="R31" s="116" t="s">
        <v>98</v>
      </c>
      <c r="S31" s="116" t="s">
        <v>98</v>
      </c>
      <c r="T31" s="114">
        <v>100</v>
      </c>
      <c r="U31" s="114">
        <v>1</v>
      </c>
      <c r="V31" s="116">
        <v>0</v>
      </c>
      <c r="W31" s="114">
        <v>0.3</v>
      </c>
      <c r="X31" s="116" t="s">
        <v>97</v>
      </c>
      <c r="Y31" s="114">
        <v>0</v>
      </c>
      <c r="Z31" s="114">
        <v>6</v>
      </c>
      <c r="AA31" s="116">
        <v>0</v>
      </c>
      <c r="AB31" s="25" t="s">
        <v>98</v>
      </c>
      <c r="AC31" s="25" t="s">
        <v>97</v>
      </c>
      <c r="AD31" s="116" t="s">
        <v>99</v>
      </c>
      <c r="AE31" s="116" t="s">
        <v>100</v>
      </c>
      <c r="AF31" s="22">
        <f t="shared" si="8"/>
        <v>3</v>
      </c>
      <c r="AG31" s="15">
        <f t="shared" si="1"/>
        <v>3</v>
      </c>
      <c r="AH31" s="7">
        <f t="shared" si="2"/>
        <v>5</v>
      </c>
      <c r="AI31" s="7">
        <f t="shared" si="3"/>
        <v>0</v>
      </c>
      <c r="AJ31" s="7">
        <f t="shared" si="4"/>
        <v>0</v>
      </c>
      <c r="AK31" s="12">
        <f t="shared" si="5"/>
        <v>6</v>
      </c>
      <c r="AL31" s="14">
        <f t="shared" si="9"/>
        <v>14</v>
      </c>
      <c r="AM31" s="16" t="str">
        <f t="shared" si="7"/>
        <v>Passable</v>
      </c>
      <c r="AN31" s="121"/>
      <c r="AO31" s="122"/>
      <c r="AP31" s="25" t="s">
        <v>155</v>
      </c>
    </row>
    <row r="32" spans="1:42" ht="30" x14ac:dyDescent="0.25">
      <c r="A32" s="82">
        <v>44074</v>
      </c>
      <c r="B32" s="76"/>
      <c r="C32" s="25">
        <v>1805606</v>
      </c>
      <c r="D32" s="25" t="s">
        <v>103</v>
      </c>
      <c r="E32" s="77">
        <v>9</v>
      </c>
      <c r="F32" s="78">
        <v>631091.97519472404</v>
      </c>
      <c r="G32" s="79">
        <v>6055866.47529421</v>
      </c>
      <c r="H32" s="77" t="s">
        <v>156</v>
      </c>
      <c r="I32" s="77" t="s">
        <v>142</v>
      </c>
      <c r="J32" s="80"/>
      <c r="K32" s="77" t="s">
        <v>179</v>
      </c>
      <c r="L32" s="25" t="s">
        <v>95</v>
      </c>
      <c r="M32" s="25" t="s">
        <v>96</v>
      </c>
      <c r="N32" s="114">
        <v>2.5</v>
      </c>
      <c r="O32" s="114">
        <v>17</v>
      </c>
      <c r="P32" s="116" t="s">
        <v>97</v>
      </c>
      <c r="Q32" s="122"/>
      <c r="R32" s="116" t="s">
        <v>97</v>
      </c>
      <c r="S32" s="116" t="s">
        <v>97</v>
      </c>
      <c r="T32" s="122"/>
      <c r="U32" s="114">
        <v>0.8</v>
      </c>
      <c r="V32" s="116">
        <v>0.57999999999999996</v>
      </c>
      <c r="W32" s="114">
        <v>0.56999999999999995</v>
      </c>
      <c r="X32" s="116" t="s">
        <v>97</v>
      </c>
      <c r="Y32" s="114">
        <v>4</v>
      </c>
      <c r="Z32" s="114">
        <v>3.8</v>
      </c>
      <c r="AA32" s="116">
        <v>4.5</v>
      </c>
      <c r="AB32" s="25" t="s">
        <v>97</v>
      </c>
      <c r="AC32" s="25" t="s">
        <v>97</v>
      </c>
      <c r="AD32" s="116" t="s">
        <v>99</v>
      </c>
      <c r="AE32" s="116" t="s">
        <v>100</v>
      </c>
      <c r="AF32" s="22">
        <f t="shared" si="8"/>
        <v>1.52</v>
      </c>
      <c r="AG32" s="15">
        <f t="shared" si="1"/>
        <v>3</v>
      </c>
      <c r="AH32" s="7">
        <f t="shared" si="2"/>
        <v>10</v>
      </c>
      <c r="AI32" s="7">
        <f t="shared" si="3"/>
        <v>10</v>
      </c>
      <c r="AJ32" s="7">
        <f t="shared" si="4"/>
        <v>10</v>
      </c>
      <c r="AK32" s="12">
        <f t="shared" si="5"/>
        <v>6</v>
      </c>
      <c r="AL32" s="14">
        <f t="shared" si="9"/>
        <v>39</v>
      </c>
      <c r="AM32" s="16" t="str">
        <f t="shared" si="7"/>
        <v>Barrier</v>
      </c>
      <c r="AN32" s="125" t="s">
        <v>101</v>
      </c>
      <c r="AO32" s="126">
        <v>10</v>
      </c>
      <c r="AP32" s="25" t="s">
        <v>157</v>
      </c>
    </row>
    <row r="33" spans="1:42" ht="30" x14ac:dyDescent="0.25">
      <c r="A33" s="82">
        <v>44074</v>
      </c>
      <c r="B33" s="76"/>
      <c r="C33" s="25">
        <v>1805608</v>
      </c>
      <c r="D33" s="25" t="s">
        <v>103</v>
      </c>
      <c r="E33" s="77">
        <v>9</v>
      </c>
      <c r="F33" s="78">
        <v>634336</v>
      </c>
      <c r="G33" s="79">
        <v>6054609</v>
      </c>
      <c r="H33" s="77" t="s">
        <v>158</v>
      </c>
      <c r="I33" s="77" t="s">
        <v>142</v>
      </c>
      <c r="J33" s="80"/>
      <c r="K33" s="77" t="s">
        <v>179</v>
      </c>
      <c r="L33" s="25" t="s">
        <v>95</v>
      </c>
      <c r="M33" s="25" t="s">
        <v>96</v>
      </c>
      <c r="N33" s="114">
        <v>3</v>
      </c>
      <c r="O33" s="114">
        <v>15</v>
      </c>
      <c r="P33" s="116" t="s">
        <v>97</v>
      </c>
      <c r="Q33" s="122"/>
      <c r="R33" s="116" t="s">
        <v>97</v>
      </c>
      <c r="S33" s="116" t="s">
        <v>97</v>
      </c>
      <c r="T33" s="122"/>
      <c r="U33" s="114">
        <v>0.8</v>
      </c>
      <c r="V33" s="116">
        <v>0.27</v>
      </c>
      <c r="W33" s="114">
        <v>0.47</v>
      </c>
      <c r="X33" s="116" t="s">
        <v>97</v>
      </c>
      <c r="Y33" s="114">
        <v>2</v>
      </c>
      <c r="Z33" s="114">
        <v>5.3</v>
      </c>
      <c r="AA33" s="116">
        <v>2</v>
      </c>
      <c r="AB33" s="25" t="s">
        <v>97</v>
      </c>
      <c r="AC33" s="25" t="s">
        <v>97</v>
      </c>
      <c r="AD33" s="116" t="s">
        <v>99</v>
      </c>
      <c r="AE33" s="116" t="s">
        <v>100</v>
      </c>
      <c r="AF33" s="22">
        <f t="shared" si="8"/>
        <v>1.7666666666666666</v>
      </c>
      <c r="AG33" s="15">
        <f t="shared" si="1"/>
        <v>3</v>
      </c>
      <c r="AH33" s="7">
        <f t="shared" si="2"/>
        <v>10</v>
      </c>
      <c r="AI33" s="7">
        <f t="shared" si="3"/>
        <v>5</v>
      </c>
      <c r="AJ33" s="7">
        <f t="shared" si="4"/>
        <v>5</v>
      </c>
      <c r="AK33" s="12">
        <f t="shared" si="5"/>
        <v>6</v>
      </c>
      <c r="AL33" s="14">
        <f t="shared" si="9"/>
        <v>29</v>
      </c>
      <c r="AM33" s="16" t="str">
        <f t="shared" si="7"/>
        <v>Barrier</v>
      </c>
      <c r="AN33" s="116" t="s">
        <v>101</v>
      </c>
      <c r="AO33" s="114">
        <v>10</v>
      </c>
      <c r="AP33" s="25" t="s">
        <v>159</v>
      </c>
    </row>
    <row r="34" spans="1:42" x14ac:dyDescent="0.25">
      <c r="A34" s="82">
        <v>44079</v>
      </c>
      <c r="B34" s="76"/>
      <c r="C34" s="25">
        <v>14000079</v>
      </c>
      <c r="D34" s="25" t="s">
        <v>92</v>
      </c>
      <c r="E34" s="77">
        <v>9</v>
      </c>
      <c r="F34" s="78">
        <v>650567.01099132095</v>
      </c>
      <c r="G34" s="79">
        <v>5993273.9768573102</v>
      </c>
      <c r="H34" s="77" t="s">
        <v>160</v>
      </c>
      <c r="I34" s="77" t="s">
        <v>161</v>
      </c>
      <c r="J34" s="80"/>
      <c r="K34" s="77" t="s">
        <v>180</v>
      </c>
      <c r="L34" s="25" t="s">
        <v>95</v>
      </c>
      <c r="M34" s="25" t="s">
        <v>96</v>
      </c>
      <c r="N34" s="114">
        <v>1.25</v>
      </c>
      <c r="O34" s="114">
        <v>6.5</v>
      </c>
      <c r="P34" s="116" t="s">
        <v>97</v>
      </c>
      <c r="Q34" s="122"/>
      <c r="R34" s="116" t="s">
        <v>97</v>
      </c>
      <c r="S34" s="116" t="s">
        <v>97</v>
      </c>
      <c r="T34" s="122"/>
      <c r="U34" s="114">
        <v>0.3</v>
      </c>
      <c r="V34" s="116">
        <v>0.45</v>
      </c>
      <c r="W34" s="114">
        <v>0.7</v>
      </c>
      <c r="X34" s="116" t="s">
        <v>97</v>
      </c>
      <c r="Y34" s="114">
        <v>2</v>
      </c>
      <c r="Z34" s="114">
        <v>2.6</v>
      </c>
      <c r="AA34" s="116">
        <v>4</v>
      </c>
      <c r="AB34" s="25" t="s">
        <v>97</v>
      </c>
      <c r="AC34" s="25" t="s">
        <v>98</v>
      </c>
      <c r="AD34" s="116" t="s">
        <v>99</v>
      </c>
      <c r="AE34" s="116" t="s">
        <v>100</v>
      </c>
      <c r="AF34" s="22">
        <f t="shared" si="8"/>
        <v>2.08</v>
      </c>
      <c r="AG34" s="15">
        <f t="shared" si="1"/>
        <v>0</v>
      </c>
      <c r="AH34" s="7">
        <f t="shared" si="2"/>
        <v>10</v>
      </c>
      <c r="AI34" s="7">
        <f t="shared" si="3"/>
        <v>10</v>
      </c>
      <c r="AJ34" s="7">
        <f t="shared" si="4"/>
        <v>5</v>
      </c>
      <c r="AK34" s="12">
        <f t="shared" si="5"/>
        <v>6</v>
      </c>
      <c r="AL34" s="14">
        <f t="shared" si="9"/>
        <v>31</v>
      </c>
      <c r="AM34" s="16" t="str">
        <f t="shared" si="7"/>
        <v>Barrier</v>
      </c>
      <c r="AN34" s="125" t="s">
        <v>101</v>
      </c>
      <c r="AO34" s="126">
        <v>10</v>
      </c>
      <c r="AP34" s="25" t="s">
        <v>162</v>
      </c>
    </row>
    <row r="35" spans="1:42" x14ac:dyDescent="0.25">
      <c r="A35" s="117"/>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6"/>
      <c r="AO35" s="114"/>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DF/FA3a99aoclpBfvHuWggT8BkyxKOyaMzg+fkwkASWJ8fAlBfpavJ+fGv7dwEJm3dk3m3kqYhLN27TXTFcmmw==" saltValue="5p2QkDMbkuWOXXTHXV960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17 N3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6 Q21"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7 N9 N11:N12 N5 N18:N24 N27:N34"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list" allowBlank="1" showInputMessage="1" showErrorMessage="1" errorTitle="Invalid value entered" error="The crossing subtype is not compatible with a crossing type of Closed Bottom Structure" sqref="M5 M11:M12 M18:M24 M27:M34" xr:uid="{7CDF29D6-B4FF-4B68-BA3B-A4C90C16A738}">
      <formula1>"Round Culvert,Oval Culvert,Concrete Box"</formula1>
    </dataValidation>
    <dataValidation type="decimal" allowBlank="1" showInputMessage="1" showErrorMessage="1" errorTitle="Invalid value entered" error="The Average Depth Embededdment you entered is invalid. The Average Depth Embededdment must be &lt;= 1.49 and &gt;= 0.01" sqref="Q5" xr:uid="{35CB17F3-D4FE-4194-ACD5-CBE484A69F1E}">
      <formula1>0.01</formula1>
      <formula2>1.49</formula2>
    </dataValidation>
    <dataValidation type="list" allowBlank="1" showInputMessage="1" showErrorMessage="1" errorTitle="Invalid value entered" error="The crossing subtype is not compatible with a crossing type of Open Bottom Structure" sqref="M6 M13:M15 M10 M8 M25:M26" xr:uid="{3CBB6BE5-DF86-4402-AE93-9D78DB3EFA77}">
      <formula1>"Bridge, Pipe Arch, Wood Box Culvert"</formula1>
    </dataValidation>
    <dataValidation type="decimal" allowBlank="1" showInputMessage="1" showErrorMessage="1" errorTitle="Invalid Diamter or Span" error="The Diameter or Span entered is invalid. Diameter or Span must be &gt; 0 and &lt; 100" sqref="N6 N13:N15 N10 N8 N25:N26" xr:uid="{9401B174-7173-492B-9F4F-05CF2138FF5E}">
      <formula1>0.01</formula1>
      <formula2>100</formula2>
    </dataValidation>
    <dataValidation type="decimal" allowBlank="1" showInputMessage="1" showErrorMessage="1" errorTitle="Invalid value entered" error="The Average Depth Embededdment you entered is invalid. The Average Depth Embededdment must be &lt;= 4.49 and &gt;= 0.01" sqref="Q6" xr:uid="{48089070-F296-42DF-81FB-DC6D8BB3BE30}">
      <formula1>0.01</formula1>
      <formula2>4.49</formula2>
    </dataValidation>
    <dataValidation type="list" allowBlank="1" showInputMessage="1" showErrorMessage="1" errorTitle="Invalid value entered" error="The crossing subtype is not compatible with a crossing type of Other" sqref="M7 M16:M17 M9" xr:uid="{C13E9232-6DC9-4065-B147-5714BC0812E6}">
      <formula1>"Ford"</formula1>
    </dataValidation>
    <dataValidation type="decimal" allowBlank="1" showInputMessage="1" showErrorMessage="1" errorTitle="Invalid value entered" error="The Average Depth Embededdment you entered is invalid. The Average Depth Embededdment must be &lt;= 4.69 and &gt;= 0.01" sqref="Q8" xr:uid="{3F872CE5-CB6E-49EB-A7C8-245B0303A7E4}">
      <formula1>0.01</formula1>
      <formula2>4.69</formula2>
    </dataValidation>
    <dataValidation type="decimal" allowBlank="1" showInputMessage="1" showErrorMessage="1" errorTitle="Invalid value entered" error="The Average Depth Embededdment you entered is invalid. The Average Depth Embededdment must be &lt;= 6.99 and &gt;= 0.01" sqref="Q10" xr:uid="{5BCA5E11-6510-40EF-96F4-91AF20BADADA}">
      <formula1>0.01</formula1>
      <formula2>6.99</formula2>
    </dataValidation>
    <dataValidation type="decimal" allowBlank="1" showInputMessage="1" showErrorMessage="1" errorTitle="Invalid value entered" error="The Average Depth Embededdment you entered is invalid. The Average Depth Embededdment must be &lt;= 0.99 and &gt;= 0.01" sqref="Q19 Q11:Q12" xr:uid="{3A597F6C-CE16-4893-844F-85C12D285130}">
      <formula1>0.01</formula1>
      <formula2>0.99</formula2>
    </dataValidation>
    <dataValidation type="decimal" allowBlank="1" showInputMessage="1" showErrorMessage="1" errorTitle="Invalid value entered" error="The Average Depth Embededdment you entered is invalid. The Average Depth Embededdment must be &lt;= 4.99 and &gt;= 0.01" sqref="Q13 Q25" xr:uid="{B2BCC744-E470-42B3-9F0C-85BC63D4079D}">
      <formula1>0.01</formula1>
      <formula2>4.99</formula2>
    </dataValidation>
    <dataValidation type="decimal" allowBlank="1" showInputMessage="1" showErrorMessage="1" errorTitle="Invalid value entered" error="The Average Depth Embededdment you entered is invalid. The Average Depth Embededdment must be &lt;= 5.49 and &gt;= 0.01" sqref="Q14" xr:uid="{C3AFA651-20AB-4B08-B524-FEC822894797}">
      <formula1>0.01</formula1>
      <formula2>5.49</formula2>
    </dataValidation>
    <dataValidation type="decimal" allowBlank="1" showInputMessage="1" showErrorMessage="1" errorTitle="Invalid value entered" error="The Average Depth Embededdment you entered is invalid. The Average Depth Embededdment must be &lt;= 4.79 and &gt;= 0.01" sqref="Q15" xr:uid="{A58361AF-10C1-4BBF-BB07-AF963E8FA0A8}">
      <formula1>0.01</formula1>
      <formula2>4.79</formula2>
    </dataValidation>
    <dataValidation type="decimal" allowBlank="1" showInputMessage="1" showErrorMessage="1" errorTitle="Invalid value entered" error="The Average Depth Embededdment you entered is invalid. The Average Depth Embededdment must be &lt;= 1.99 and &gt;= 0.01" sqref="Q18 Q31" xr:uid="{85087CD2-63E7-4A0E-B33B-C3EA8CADAC78}">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20 Q30" xr:uid="{0072F310-C5EB-4D89-A2C8-21C0FD2C13CA}">
      <formula1>0.01</formula1>
      <formula2>0.89</formula2>
    </dataValidation>
    <dataValidation type="decimal" allowBlank="1" showInputMessage="1" showErrorMessage="1" errorTitle="Invalid value entered" error="The Average Depth Embededdment you entered is invalid. The Average Depth Embededdment must be &lt;= 2.49 and &gt;= 0.01" sqref="Q22 Q29 Q32" xr:uid="{8A0B3303-7805-49C1-9B42-5FED2D6352D6}">
      <formula1>0.01</formula1>
      <formula2>2.49</formula2>
    </dataValidation>
    <dataValidation type="decimal" allowBlank="1" showInputMessage="1" showErrorMessage="1" errorTitle="Invalid value entered" error="The Average Depth Embededdment you entered is invalid. The Average Depth Embededdment must be &lt;= 3.99 and &gt;= 0.01" sqref="Q23 Q26" xr:uid="{048A16E2-F503-4890-B9FC-568D225A0C55}">
      <formula1>0.01</formula1>
      <formula2>3.99</formula2>
    </dataValidation>
    <dataValidation type="decimal" allowBlank="1" showInputMessage="1" showErrorMessage="1" errorTitle="Invalid value entered" error="The Average Depth Embededdment you entered is invalid. The Average Depth Embededdment must be &lt;= 3.19 and &gt;= 0.01" sqref="Q24" xr:uid="{7B1DAFC8-1F62-49E9-85F1-CB91FE2550D5}">
      <formula1>0.01</formula1>
      <formula2>3.19</formula2>
    </dataValidation>
    <dataValidation type="decimal" allowBlank="1" showInputMessage="1" showErrorMessage="1" errorTitle="Invalid value entered" error="The Average Depth Embededdment you entered is invalid. The Average Depth Embededdment must be &lt;= 4.19 and &gt;= 0.01" sqref="Q27" xr:uid="{5ED959E1-AB88-4F67-B1B1-FBE287203639}">
      <formula1>0.01</formula1>
      <formula2>4.19</formula2>
    </dataValidation>
    <dataValidation type="decimal" allowBlank="1" showInputMessage="1" showErrorMessage="1" errorTitle="Invalid value entered" error="The Average Depth Embededdment you entered is invalid. The Average Depth Embededdment must be &lt;= 1.74 and &gt;= 0.01" sqref="Q28" xr:uid="{20E25BDD-B102-40F9-AA4C-6C641EDB7300}">
      <formula1>0.01</formula1>
      <formula2>1.74</formula2>
    </dataValidation>
    <dataValidation type="decimal" allowBlank="1" showInputMessage="1" showErrorMessage="1" errorTitle="Invalid value entered" error="The Average Depth Embededdment you entered is invalid. The Average Depth Embededdment must be &lt;= 2.99 and &gt;= 0.01" sqref="Q33" xr:uid="{DA98D29A-E010-4E60-BA0C-07F7C78C42B3}">
      <formula1>0.01</formula1>
      <formula2>2.99</formula2>
    </dataValidation>
    <dataValidation type="decimal" allowBlank="1" showInputMessage="1" showErrorMessage="1" errorTitle="Invalid value entered" error="The Average Depth Embededdment you entered is invalid. The Average Depth Embededdment must be &lt;= 1.24 and &gt;= 0.01" sqref="Q34" xr:uid="{69EB56F1-D930-4BB4-BCEA-07FD13BED3B0}">
      <formula1>0.01</formula1>
      <formula2>1.24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2021-02-08T17:28:16Z</dcterms:modified>
</cp:coreProperties>
</file>